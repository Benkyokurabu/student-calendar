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73b83a03d86af3a/デスクトップ/生徒スケジュール表/"/>
    </mc:Choice>
  </mc:AlternateContent>
  <xr:revisionPtr revIDLastSave="55" documentId="13_ncr:1_{E7BF04FE-1419-4E30-A57F-489ED4E02823}" xr6:coauthVersionLast="47" xr6:coauthVersionMax="47" xr10:uidLastSave="{01FF6575-55F6-4854-A69B-C3A7C28090A9}"/>
  <bookViews>
    <workbookView xWindow="28680" yWindow="-120" windowWidth="19440" windowHeight="14880" xr2:uid="{00000000-000D-0000-FFFF-FFFF00000000}"/>
  </bookViews>
  <sheets>
    <sheet name="本校教務部用" sheetId="3" r:id="rId1"/>
    <sheet name="南教室教務部用" sheetId="7" r:id="rId2"/>
    <sheet name="４週間フォーム" sheetId="4" r:id="rId3"/>
    <sheet name="本校生徒用" sheetId="5" r:id="rId4"/>
    <sheet name="南教室生徒用" sheetId="8" r:id="rId5"/>
    <sheet name="マニュアル" sheetId="6" r:id="rId6"/>
  </sheets>
  <functionGroups builtInGroupCount="19"/>
  <definedNames>
    <definedName name="_xlnm.Print_Area" localSheetId="1">南教室教務部用!#REF!</definedName>
    <definedName name="_xlnm.Print_Area" localSheetId="0">本校教務部用!$A$1:$Y$60</definedName>
    <definedName name="_xlnm.Print_Area" localSheetId="3">本校生徒用!$A$1:$Y$59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5" i="7" l="1"/>
  <c r="H85" i="7"/>
  <c r="G85" i="7"/>
  <c r="E85" i="7"/>
  <c r="D85" i="7"/>
  <c r="C85" i="7"/>
  <c r="X82" i="7"/>
  <c r="W82" i="7"/>
  <c r="U82" i="7"/>
  <c r="T82" i="7"/>
  <c r="S82" i="7"/>
  <c r="Q82" i="7"/>
  <c r="P82" i="7"/>
  <c r="O82" i="7"/>
  <c r="N82" i="7"/>
  <c r="M82" i="7"/>
  <c r="L82" i="7"/>
  <c r="I82" i="7"/>
  <c r="H82" i="7"/>
  <c r="G82" i="7"/>
  <c r="E82" i="7"/>
  <c r="D82" i="7"/>
  <c r="C82" i="7"/>
  <c r="I79" i="7"/>
  <c r="H79" i="7"/>
  <c r="G79" i="7"/>
  <c r="E79" i="7"/>
  <c r="D79" i="7"/>
  <c r="C79" i="7"/>
  <c r="U76" i="7"/>
  <c r="T76" i="7"/>
  <c r="S76" i="7"/>
  <c r="Q76" i="7"/>
  <c r="P76" i="7"/>
  <c r="O76" i="7"/>
  <c r="N76" i="7"/>
  <c r="M76" i="7"/>
  <c r="L76" i="7"/>
  <c r="I76" i="7"/>
  <c r="H76" i="7"/>
  <c r="G76" i="7"/>
  <c r="E76" i="7"/>
  <c r="D76" i="7"/>
  <c r="C76" i="7"/>
  <c r="M73" i="7"/>
  <c r="L73" i="7"/>
  <c r="I73" i="7"/>
  <c r="H73" i="7"/>
  <c r="G73" i="7"/>
  <c r="E73" i="7"/>
  <c r="D73" i="7"/>
  <c r="C73" i="7"/>
  <c r="S70" i="7"/>
  <c r="Q70" i="7"/>
  <c r="P70" i="7"/>
  <c r="O70" i="7"/>
  <c r="N70" i="7"/>
  <c r="M70" i="7"/>
  <c r="L70" i="7"/>
  <c r="I70" i="7"/>
  <c r="H70" i="7"/>
  <c r="G70" i="7"/>
  <c r="E70" i="7"/>
  <c r="D70" i="7"/>
  <c r="C70" i="7"/>
  <c r="Q67" i="7"/>
  <c r="P67" i="7"/>
  <c r="O67" i="7"/>
  <c r="N67" i="7"/>
  <c r="M67" i="7"/>
  <c r="L67" i="7"/>
  <c r="I67" i="7"/>
  <c r="H67" i="7"/>
  <c r="G67" i="7"/>
  <c r="E67" i="7"/>
  <c r="D67" i="7"/>
  <c r="C67" i="7"/>
  <c r="S67" i="3"/>
  <c r="S73" i="3"/>
  <c r="R73" i="3"/>
  <c r="P73" i="3"/>
  <c r="O73" i="3"/>
  <c r="N73" i="3"/>
  <c r="M73" i="3"/>
  <c r="L73" i="3"/>
  <c r="J63" i="7"/>
  <c r="M63" i="7"/>
  <c r="O63" i="3"/>
  <c r="H63" i="7"/>
  <c r="N63" i="3"/>
  <c r="L63" i="7"/>
  <c r="I63" i="3"/>
  <c r="P63" i="7"/>
  <c r="P63" i="3"/>
  <c r="I63" i="7"/>
  <c r="K63" i="3"/>
  <c r="M63" i="3"/>
  <c r="N63" i="7"/>
  <c r="O63" i="7"/>
  <c r="P61" i="7"/>
  <c r="J63" i="3"/>
  <c r="L63" i="3"/>
  <c r="Q63" i="3"/>
  <c r="K63" i="7"/>
  <c r="I85" i="3" l="1"/>
  <c r="H85" i="3"/>
  <c r="G85" i="3"/>
  <c r="E85" i="3"/>
  <c r="D85" i="3"/>
  <c r="C85" i="3"/>
  <c r="W82" i="3"/>
  <c r="V82" i="3"/>
  <c r="U82" i="3"/>
  <c r="T82" i="3"/>
  <c r="S82" i="3"/>
  <c r="R82" i="3"/>
  <c r="P82" i="3"/>
  <c r="O82" i="3"/>
  <c r="N82" i="3"/>
  <c r="M82" i="3"/>
  <c r="L82" i="3"/>
  <c r="I82" i="3"/>
  <c r="H82" i="3"/>
  <c r="G82" i="3"/>
  <c r="E82" i="3"/>
  <c r="D82" i="3"/>
  <c r="C82" i="3"/>
  <c r="I79" i="3"/>
  <c r="H79" i="3"/>
  <c r="G79" i="3"/>
  <c r="E79" i="3"/>
  <c r="D79" i="3"/>
  <c r="C79" i="3"/>
  <c r="U76" i="3"/>
  <c r="T76" i="3"/>
  <c r="S76" i="3"/>
  <c r="R76" i="3"/>
  <c r="P76" i="3"/>
  <c r="O76" i="3"/>
  <c r="N76" i="3"/>
  <c r="M76" i="3"/>
  <c r="L76" i="3"/>
  <c r="I76" i="3"/>
  <c r="H76" i="3"/>
  <c r="G76" i="3"/>
  <c r="E76" i="3"/>
  <c r="D76" i="3"/>
  <c r="C76" i="3"/>
  <c r="I73" i="3"/>
  <c r="H73" i="3"/>
  <c r="G73" i="3"/>
  <c r="E73" i="3"/>
  <c r="D73" i="3"/>
  <c r="C73" i="3"/>
  <c r="S70" i="3"/>
  <c r="R70" i="3"/>
  <c r="P70" i="3"/>
  <c r="O70" i="3"/>
  <c r="N70" i="3"/>
  <c r="M70" i="3"/>
  <c r="L70" i="3"/>
  <c r="I70" i="3"/>
  <c r="H70" i="3"/>
  <c r="G70" i="3"/>
  <c r="E70" i="3"/>
  <c r="D70" i="3"/>
  <c r="C70" i="3"/>
  <c r="R67" i="3"/>
  <c r="P67" i="3"/>
  <c r="O67" i="3"/>
  <c r="N67" i="3"/>
  <c r="M67" i="3"/>
  <c r="L67" i="3"/>
  <c r="I67" i="3"/>
  <c r="H67" i="3"/>
  <c r="G67" i="3"/>
  <c r="E67" i="3"/>
  <c r="D67" i="3"/>
  <c r="C67" i="3"/>
  <c r="J61" i="7"/>
  <c r="J61" i="3"/>
  <c r="K61" i="3"/>
  <c r="K61" i="7"/>
  <c r="L61" i="7"/>
  <c r="M61" i="7"/>
  <c r="O61" i="7"/>
  <c r="O61" i="3"/>
  <c r="M61" i="3"/>
  <c r="Q61" i="3"/>
  <c r="H61" i="7"/>
  <c r="N61" i="7"/>
  <c r="I61" i="7"/>
  <c r="L61" i="3"/>
  <c r="P61" i="3"/>
  <c r="I61" i="3"/>
  <c r="N61" i="3"/>
</calcChain>
</file>

<file path=xl/sharedStrings.xml><?xml version="1.0" encoding="utf-8"?>
<sst xmlns="http://schemas.openxmlformats.org/spreadsheetml/2006/main" count="1883" uniqueCount="329">
  <si>
    <t xml:space="preserve">  　　　　　</t>
    <phoneticPr fontId="4"/>
  </si>
  <si>
    <r>
      <t>(</t>
    </r>
    <r>
      <rPr>
        <b/>
        <sz val="18"/>
        <rFont val="HG丸ｺﾞｼｯｸM-PRO"/>
        <family val="3"/>
        <charset val="128"/>
      </rPr>
      <t>９５３－４７６８</t>
    </r>
    <phoneticPr fontId="4"/>
  </si>
  <si>
    <t>授業</t>
  </si>
  <si>
    <t>小学部4:55～6:15</t>
    <rPh sb="0" eb="3">
      <t>ショウガクブ</t>
    </rPh>
    <phoneticPr fontId="4"/>
  </si>
  <si>
    <t>時間</t>
  </si>
  <si>
    <t>教室⇒</t>
    <rPh sb="0" eb="2">
      <t>キョウシツ</t>
    </rPh>
    <phoneticPr fontId="4"/>
  </si>
  <si>
    <t>①</t>
    <phoneticPr fontId="4"/>
  </si>
  <si>
    <t>②</t>
    <phoneticPr fontId="4"/>
  </si>
  <si>
    <t>③</t>
    <phoneticPr fontId="4"/>
  </si>
  <si>
    <t>④</t>
    <phoneticPr fontId="4"/>
  </si>
  <si>
    <t>①</t>
    <phoneticPr fontId="4"/>
  </si>
  <si>
    <t>②</t>
    <phoneticPr fontId="4"/>
  </si>
  <si>
    <t>③</t>
    <phoneticPr fontId="4"/>
  </si>
  <si>
    <t>④</t>
    <phoneticPr fontId="4"/>
  </si>
  <si>
    <t>工藤</t>
    <rPh sb="0" eb="2">
      <t>クドウ</t>
    </rPh>
    <phoneticPr fontId="4"/>
  </si>
  <si>
    <t>真下</t>
    <rPh sb="0" eb="2">
      <t>マシモ</t>
    </rPh>
    <phoneticPr fontId="4"/>
  </si>
  <si>
    <t>５Ｓ算</t>
    <rPh sb="2" eb="3">
      <t>サン</t>
    </rPh>
    <phoneticPr fontId="4"/>
  </si>
  <si>
    <t>６Ｓ算</t>
    <rPh sb="2" eb="3">
      <t>サン</t>
    </rPh>
    <phoneticPr fontId="4"/>
  </si>
  <si>
    <t>６Ａ算</t>
    <rPh sb="2" eb="3">
      <t>サン</t>
    </rPh>
    <phoneticPr fontId="4"/>
  </si>
  <si>
    <t>６Ｓ英</t>
    <rPh sb="2" eb="3">
      <t>エイ</t>
    </rPh>
    <phoneticPr fontId="4"/>
  </si>
  <si>
    <t>６Ａ英</t>
    <rPh sb="2" eb="3">
      <t>エイ</t>
    </rPh>
    <phoneticPr fontId="4"/>
  </si>
  <si>
    <t>１Ｓ数</t>
    <rPh sb="2" eb="3">
      <t>スウ</t>
    </rPh>
    <phoneticPr fontId="4"/>
  </si>
  <si>
    <t>１Ａ数</t>
    <rPh sb="2" eb="3">
      <t>スウ</t>
    </rPh>
    <phoneticPr fontId="4"/>
  </si>
  <si>
    <t>１Ｂ数</t>
    <rPh sb="2" eb="3">
      <t>スウ</t>
    </rPh>
    <phoneticPr fontId="4"/>
  </si>
  <si>
    <t>１Ｃ数</t>
    <rPh sb="2" eb="3">
      <t>スウ</t>
    </rPh>
    <phoneticPr fontId="4"/>
  </si>
  <si>
    <t>１Ｓ英</t>
    <rPh sb="2" eb="3">
      <t>エイ</t>
    </rPh>
    <phoneticPr fontId="4"/>
  </si>
  <si>
    <t>１Ａ英</t>
    <rPh sb="2" eb="3">
      <t>エイ</t>
    </rPh>
    <phoneticPr fontId="4"/>
  </si>
  <si>
    <t>１Ｂ英</t>
    <rPh sb="2" eb="3">
      <t>エイ</t>
    </rPh>
    <phoneticPr fontId="4"/>
  </si>
  <si>
    <t>１Ｃ英</t>
    <rPh sb="2" eb="3">
      <t>エイ</t>
    </rPh>
    <phoneticPr fontId="4"/>
  </si>
  <si>
    <t>１Ｓ国</t>
    <rPh sb="2" eb="3">
      <t>コク</t>
    </rPh>
    <phoneticPr fontId="4"/>
  </si>
  <si>
    <t>１Ａ国</t>
    <rPh sb="2" eb="3">
      <t>コク</t>
    </rPh>
    <phoneticPr fontId="4"/>
  </si>
  <si>
    <t>１Ｓ理</t>
    <rPh sb="2" eb="3">
      <t>リ</t>
    </rPh>
    <phoneticPr fontId="4"/>
  </si>
  <si>
    <t>１Ｓ社</t>
    <rPh sb="2" eb="3">
      <t>シャ</t>
    </rPh>
    <phoneticPr fontId="4"/>
  </si>
  <si>
    <t>６X社</t>
    <rPh sb="2" eb="3">
      <t>シャ</t>
    </rPh>
    <phoneticPr fontId="4"/>
  </si>
  <si>
    <t>1A特数</t>
    <rPh sb="2" eb="3">
      <t>トク</t>
    </rPh>
    <rPh sb="3" eb="4">
      <t>スウ</t>
    </rPh>
    <phoneticPr fontId="4"/>
  </si>
  <si>
    <t>1B特数</t>
    <rPh sb="2" eb="3">
      <t>トク</t>
    </rPh>
    <rPh sb="3" eb="4">
      <t>スウ</t>
    </rPh>
    <phoneticPr fontId="4"/>
  </si>
  <si>
    <t>1C特数</t>
    <rPh sb="2" eb="3">
      <t>トク</t>
    </rPh>
    <rPh sb="3" eb="4">
      <t>スウ</t>
    </rPh>
    <phoneticPr fontId="4"/>
  </si>
  <si>
    <t>1A特英</t>
    <rPh sb="2" eb="3">
      <t>トク</t>
    </rPh>
    <rPh sb="3" eb="4">
      <t>エイ</t>
    </rPh>
    <phoneticPr fontId="4"/>
  </si>
  <si>
    <t>1B特英</t>
    <rPh sb="2" eb="3">
      <t>トク</t>
    </rPh>
    <rPh sb="3" eb="4">
      <t>エイ</t>
    </rPh>
    <phoneticPr fontId="4"/>
  </si>
  <si>
    <t>1E特英</t>
    <rPh sb="2" eb="3">
      <t>トク</t>
    </rPh>
    <rPh sb="3" eb="4">
      <t>エイ</t>
    </rPh>
    <phoneticPr fontId="4"/>
  </si>
  <si>
    <t>２Ｓ数</t>
    <rPh sb="2" eb="3">
      <t>スウ</t>
    </rPh>
    <phoneticPr fontId="4"/>
  </si>
  <si>
    <t>２Ａ数</t>
    <rPh sb="2" eb="3">
      <t>スウ</t>
    </rPh>
    <phoneticPr fontId="4"/>
  </si>
  <si>
    <t>２Ｂ数</t>
    <rPh sb="2" eb="3">
      <t>スウ</t>
    </rPh>
    <phoneticPr fontId="4"/>
  </si>
  <si>
    <t>２Ｃ数</t>
    <rPh sb="2" eb="3">
      <t>スウ</t>
    </rPh>
    <phoneticPr fontId="4"/>
  </si>
  <si>
    <t>２Ｓ英</t>
    <rPh sb="2" eb="3">
      <t>エイ</t>
    </rPh>
    <phoneticPr fontId="4"/>
  </si>
  <si>
    <t>２Ａ英</t>
    <rPh sb="2" eb="3">
      <t>エイ</t>
    </rPh>
    <phoneticPr fontId="4"/>
  </si>
  <si>
    <t>２Ｂ英</t>
    <rPh sb="2" eb="3">
      <t>エイ</t>
    </rPh>
    <phoneticPr fontId="4"/>
  </si>
  <si>
    <t>２Ｃ英</t>
    <rPh sb="2" eb="3">
      <t>エイ</t>
    </rPh>
    <phoneticPr fontId="4"/>
  </si>
  <si>
    <t>２Ｓ国</t>
    <rPh sb="2" eb="3">
      <t>コク</t>
    </rPh>
    <phoneticPr fontId="4"/>
  </si>
  <si>
    <t>２Ａ国</t>
    <rPh sb="2" eb="3">
      <t>コク</t>
    </rPh>
    <phoneticPr fontId="4"/>
  </si>
  <si>
    <t>２Ｓ理</t>
    <rPh sb="2" eb="3">
      <t>リ</t>
    </rPh>
    <phoneticPr fontId="4"/>
  </si>
  <si>
    <t>２Ｓ社</t>
    <rPh sb="2" eb="3">
      <t>シャ</t>
    </rPh>
    <phoneticPr fontId="4"/>
  </si>
  <si>
    <t>２Ｘ国</t>
    <rPh sb="2" eb="3">
      <t>コク</t>
    </rPh>
    <phoneticPr fontId="4"/>
  </si>
  <si>
    <t>2A特数</t>
    <rPh sb="2" eb="3">
      <t>トク</t>
    </rPh>
    <rPh sb="3" eb="4">
      <t>スウ</t>
    </rPh>
    <phoneticPr fontId="4"/>
  </si>
  <si>
    <t>2B特数</t>
    <rPh sb="2" eb="3">
      <t>トク</t>
    </rPh>
    <rPh sb="3" eb="4">
      <t>スウ</t>
    </rPh>
    <phoneticPr fontId="4"/>
  </si>
  <si>
    <t>2C特数</t>
    <rPh sb="2" eb="3">
      <t>トク</t>
    </rPh>
    <rPh sb="3" eb="4">
      <t>スウ</t>
    </rPh>
    <phoneticPr fontId="4"/>
  </si>
  <si>
    <t>2A特英</t>
    <rPh sb="2" eb="3">
      <t>トク</t>
    </rPh>
    <rPh sb="3" eb="4">
      <t>エイ</t>
    </rPh>
    <phoneticPr fontId="4"/>
  </si>
  <si>
    <t>2B特英</t>
    <rPh sb="2" eb="3">
      <t>トク</t>
    </rPh>
    <rPh sb="3" eb="4">
      <t>エイ</t>
    </rPh>
    <phoneticPr fontId="4"/>
  </si>
  <si>
    <t>2C特英</t>
    <rPh sb="2" eb="3">
      <t>トク</t>
    </rPh>
    <rPh sb="3" eb="4">
      <t>エイ</t>
    </rPh>
    <phoneticPr fontId="4"/>
  </si>
  <si>
    <t>３Ｓ数</t>
    <rPh sb="2" eb="3">
      <t>スウ</t>
    </rPh>
    <phoneticPr fontId="4"/>
  </si>
  <si>
    <t>３Ａ数</t>
    <rPh sb="2" eb="3">
      <t>スウ</t>
    </rPh>
    <phoneticPr fontId="4"/>
  </si>
  <si>
    <t>３Ｂ数</t>
    <rPh sb="2" eb="3">
      <t>スウ</t>
    </rPh>
    <phoneticPr fontId="4"/>
  </si>
  <si>
    <t>３Ｃ数</t>
    <rPh sb="2" eb="3">
      <t>スウ</t>
    </rPh>
    <phoneticPr fontId="4"/>
  </si>
  <si>
    <t>３Ｓ英</t>
    <rPh sb="2" eb="3">
      <t>エイ</t>
    </rPh>
    <phoneticPr fontId="4"/>
  </si>
  <si>
    <t>３Ａ英</t>
    <rPh sb="2" eb="3">
      <t>エイ</t>
    </rPh>
    <phoneticPr fontId="4"/>
  </si>
  <si>
    <t>３Ｂ英</t>
    <rPh sb="2" eb="3">
      <t>エイ</t>
    </rPh>
    <phoneticPr fontId="4"/>
  </si>
  <si>
    <t>３Ｃ英</t>
    <rPh sb="2" eb="3">
      <t>エイ</t>
    </rPh>
    <phoneticPr fontId="4"/>
  </si>
  <si>
    <t>３Ｓ国</t>
    <rPh sb="2" eb="3">
      <t>コク</t>
    </rPh>
    <phoneticPr fontId="4"/>
  </si>
  <si>
    <t>３Ａ国</t>
    <rPh sb="2" eb="3">
      <t>コク</t>
    </rPh>
    <phoneticPr fontId="4"/>
  </si>
  <si>
    <t>３Ｓ理</t>
    <rPh sb="2" eb="3">
      <t>リ</t>
    </rPh>
    <phoneticPr fontId="4"/>
  </si>
  <si>
    <t>３Ａ理</t>
    <rPh sb="2" eb="3">
      <t>リ</t>
    </rPh>
    <phoneticPr fontId="4"/>
  </si>
  <si>
    <t>３Ｓ社</t>
    <rPh sb="2" eb="3">
      <t>シャ</t>
    </rPh>
    <phoneticPr fontId="4"/>
  </si>
  <si>
    <t>３Ａ社</t>
    <rPh sb="2" eb="3">
      <t>シャ</t>
    </rPh>
    <phoneticPr fontId="4"/>
  </si>
  <si>
    <t>３Ｘ国</t>
    <rPh sb="2" eb="3">
      <t>コク</t>
    </rPh>
    <phoneticPr fontId="4"/>
  </si>
  <si>
    <t>３Ｘ数</t>
    <rPh sb="2" eb="3">
      <t>スウ</t>
    </rPh>
    <phoneticPr fontId="4"/>
  </si>
  <si>
    <t>３Ｘ英</t>
    <rPh sb="2" eb="3">
      <t>エイ</t>
    </rPh>
    <phoneticPr fontId="4"/>
  </si>
  <si>
    <t>3A特数</t>
    <rPh sb="2" eb="3">
      <t>トク</t>
    </rPh>
    <rPh sb="3" eb="4">
      <t>スウ</t>
    </rPh>
    <phoneticPr fontId="4"/>
  </si>
  <si>
    <t>3B特数</t>
    <rPh sb="2" eb="3">
      <t>トク</t>
    </rPh>
    <rPh sb="3" eb="4">
      <t>スウ</t>
    </rPh>
    <phoneticPr fontId="4"/>
  </si>
  <si>
    <t>3C特数</t>
    <rPh sb="2" eb="3">
      <t>トク</t>
    </rPh>
    <rPh sb="3" eb="4">
      <t>スウ</t>
    </rPh>
    <phoneticPr fontId="4"/>
  </si>
  <si>
    <t>3A特英</t>
    <rPh sb="2" eb="3">
      <t>トク</t>
    </rPh>
    <rPh sb="3" eb="4">
      <t>エイ</t>
    </rPh>
    <phoneticPr fontId="4"/>
  </si>
  <si>
    <t>3B特英</t>
    <rPh sb="2" eb="3">
      <t>トク</t>
    </rPh>
    <rPh sb="3" eb="4">
      <t>エイ</t>
    </rPh>
    <phoneticPr fontId="4"/>
  </si>
  <si>
    <t>3C特英</t>
    <rPh sb="2" eb="3">
      <t>トク</t>
    </rPh>
    <rPh sb="3" eb="4">
      <t>エイ</t>
    </rPh>
    <phoneticPr fontId="4"/>
  </si>
  <si>
    <t>月</t>
    <rPh sb="0" eb="1">
      <t>ゲツ</t>
    </rPh>
    <phoneticPr fontId="4"/>
  </si>
  <si>
    <t>５Ａ国</t>
    <rPh sb="2" eb="3">
      <t>コク</t>
    </rPh>
    <phoneticPr fontId="4"/>
  </si>
  <si>
    <t>火</t>
  </si>
  <si>
    <t>４Ａ国</t>
    <rPh sb="2" eb="3">
      <t>コク</t>
    </rPh>
    <phoneticPr fontId="4"/>
  </si>
  <si>
    <t>４Ｓ国</t>
    <rPh sb="2" eb="3">
      <t>コク</t>
    </rPh>
    <phoneticPr fontId="4"/>
  </si>
  <si>
    <t>水</t>
  </si>
  <si>
    <t>木</t>
  </si>
  <si>
    <t>５Ａ算</t>
    <rPh sb="2" eb="3">
      <t>サン</t>
    </rPh>
    <phoneticPr fontId="4"/>
  </si>
  <si>
    <t>金</t>
  </si>
  <si>
    <t>5:15～５Ｇ英</t>
    <rPh sb="7" eb="8">
      <t>エイ</t>
    </rPh>
    <phoneticPr fontId="4"/>
  </si>
  <si>
    <t>４Ｓ算</t>
    <rPh sb="2" eb="3">
      <t>サン</t>
    </rPh>
    <phoneticPr fontId="4"/>
  </si>
  <si>
    <t>４Ａ算</t>
    <rPh sb="2" eb="3">
      <t>サン</t>
    </rPh>
    <phoneticPr fontId="4"/>
  </si>
  <si>
    <t>土</t>
  </si>
  <si>
    <t>日</t>
    <rPh sb="0" eb="1">
      <t>ヒ</t>
    </rPh>
    <phoneticPr fontId="4"/>
  </si>
  <si>
    <t>⑤</t>
    <phoneticPr fontId="4"/>
  </si>
  <si>
    <t>小４</t>
    <rPh sb="0" eb="1">
      <t>ショウ</t>
    </rPh>
    <phoneticPr fontId="4"/>
  </si>
  <si>
    <t>小５</t>
    <rPh sb="0" eb="1">
      <t>ショウ</t>
    </rPh>
    <phoneticPr fontId="4"/>
  </si>
  <si>
    <t>小６</t>
    <rPh sb="0" eb="1">
      <t>ショウ</t>
    </rPh>
    <phoneticPr fontId="4"/>
  </si>
  <si>
    <t>中１</t>
    <rPh sb="0" eb="1">
      <t>チュウ</t>
    </rPh>
    <phoneticPr fontId="4"/>
  </si>
  <si>
    <t>中２</t>
    <rPh sb="0" eb="1">
      <t>チュウ</t>
    </rPh>
    <phoneticPr fontId="4"/>
  </si>
  <si>
    <t>中３</t>
    <rPh sb="0" eb="1">
      <t>チュウ</t>
    </rPh>
    <phoneticPr fontId="4"/>
  </si>
  <si>
    <t>勝手に塗られたところの色の消し方</t>
    <rPh sb="0" eb="2">
      <t>カッテ</t>
    </rPh>
    <rPh sb="3" eb="4">
      <t>ヌ</t>
    </rPh>
    <rPh sb="11" eb="12">
      <t>イロ</t>
    </rPh>
    <rPh sb="13" eb="14">
      <t>ケ</t>
    </rPh>
    <rPh sb="15" eb="16">
      <t>カタ</t>
    </rPh>
    <phoneticPr fontId="4"/>
  </si>
  <si>
    <r>
      <t>消したい</t>
    </r>
    <r>
      <rPr>
        <sz val="11"/>
        <color indexed="12"/>
        <rFont val="ＭＳ Ｐゴシック"/>
        <family val="3"/>
        <charset val="128"/>
      </rPr>
      <t>セルをクリック</t>
    </r>
    <rPh sb="0" eb="1">
      <t>ケ</t>
    </rPh>
    <phoneticPr fontId="4"/>
  </si>
  <si>
    <r>
      <t>上の「</t>
    </r>
    <r>
      <rPr>
        <sz val="11"/>
        <color indexed="12"/>
        <rFont val="ＭＳ Ｐゴシック"/>
        <family val="3"/>
        <charset val="128"/>
      </rPr>
      <t>ホーム</t>
    </r>
    <r>
      <rPr>
        <sz val="11"/>
        <color theme="1"/>
        <rFont val="ＭＳ Ｐゴシック"/>
        <family val="2"/>
        <charset val="128"/>
        <scheme val="minor"/>
      </rPr>
      <t>」の欄の</t>
    </r>
    <rPh sb="0" eb="1">
      <t>ウエ</t>
    </rPh>
    <rPh sb="8" eb="9">
      <t>ラン</t>
    </rPh>
    <phoneticPr fontId="4"/>
  </si>
  <si>
    <r>
      <t>「</t>
    </r>
    <r>
      <rPr>
        <sz val="11"/>
        <color indexed="12"/>
        <rFont val="ＭＳ Ｐゴシック"/>
        <family val="3"/>
        <charset val="128"/>
      </rPr>
      <t>条件付き書式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1" eb="3">
      <t>ジョウケン</t>
    </rPh>
    <rPh sb="3" eb="4">
      <t>ツ</t>
    </rPh>
    <rPh sb="5" eb="7">
      <t>ショシキ</t>
    </rPh>
    <phoneticPr fontId="4"/>
  </si>
  <si>
    <r>
      <t>出てきた選択肢の</t>
    </r>
    <r>
      <rPr>
        <sz val="11"/>
        <color indexed="12"/>
        <rFont val="ＭＳ Ｐゴシック"/>
        <family val="3"/>
        <charset val="128"/>
      </rPr>
      <t>「ルールのクリア</t>
    </r>
    <r>
      <rPr>
        <sz val="11"/>
        <color theme="1"/>
        <rFont val="ＭＳ Ｐゴシック"/>
        <family val="2"/>
        <charset val="128"/>
        <scheme val="minor"/>
      </rPr>
      <t>」にカーソルを合わせる</t>
    </r>
    <rPh sb="0" eb="1">
      <t>デ</t>
    </rPh>
    <rPh sb="4" eb="7">
      <t>センタクシ</t>
    </rPh>
    <rPh sb="23" eb="24">
      <t>ア</t>
    </rPh>
    <phoneticPr fontId="4"/>
  </si>
  <si>
    <r>
      <t>「</t>
    </r>
    <r>
      <rPr>
        <sz val="11"/>
        <color indexed="12"/>
        <rFont val="ＭＳ Ｐゴシック"/>
        <family val="3"/>
        <charset val="128"/>
      </rPr>
      <t>選択したセルからルールをクリア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1" eb="3">
      <t>センタク</t>
    </rPh>
    <phoneticPr fontId="4"/>
  </si>
  <si>
    <t>勝手に塗られる色の設定を変えたい場合</t>
    <rPh sb="0" eb="2">
      <t>カッテ</t>
    </rPh>
    <rPh sb="3" eb="4">
      <t>ヌ</t>
    </rPh>
    <rPh sb="7" eb="8">
      <t>イロ</t>
    </rPh>
    <rPh sb="9" eb="11">
      <t>セッテイ</t>
    </rPh>
    <rPh sb="12" eb="13">
      <t>カ</t>
    </rPh>
    <rPh sb="16" eb="18">
      <t>バアイ</t>
    </rPh>
    <phoneticPr fontId="4"/>
  </si>
  <si>
    <t>「条件付き書式」をクリック</t>
  </si>
  <si>
    <t>「ルールの管理」をクリック</t>
    <rPh sb="5" eb="7">
      <t>カンリ</t>
    </rPh>
    <phoneticPr fontId="4"/>
  </si>
  <si>
    <r>
      <t>下のほうの「</t>
    </r>
    <r>
      <rPr>
        <sz val="11"/>
        <color indexed="12"/>
        <rFont val="ＭＳ Ｐゴシック"/>
        <family val="3"/>
        <charset val="128"/>
      </rPr>
      <t>書式</t>
    </r>
    <r>
      <rPr>
        <sz val="11"/>
        <color theme="1"/>
        <rFont val="ＭＳ Ｐゴシック"/>
        <family val="2"/>
        <charset val="128"/>
        <scheme val="minor"/>
      </rPr>
      <t>」をクリックして、色やフォントを変えてください</t>
    </r>
    <rPh sb="0" eb="1">
      <t>シタ</t>
    </rPh>
    <rPh sb="6" eb="8">
      <t>ショシキ</t>
    </rPh>
    <rPh sb="17" eb="18">
      <t>イロ</t>
    </rPh>
    <rPh sb="24" eb="25">
      <t>カ</t>
    </rPh>
    <phoneticPr fontId="4"/>
  </si>
  <si>
    <t>先生の授業数を色で判別してカウント</t>
    <rPh sb="0" eb="2">
      <t>センセイ</t>
    </rPh>
    <rPh sb="3" eb="5">
      <t>ジュギョウ</t>
    </rPh>
    <rPh sb="5" eb="6">
      <t>スウ</t>
    </rPh>
    <rPh sb="7" eb="8">
      <t>イロ</t>
    </rPh>
    <rPh sb="9" eb="11">
      <t>ハンベツ</t>
    </rPh>
    <phoneticPr fontId="4"/>
  </si>
  <si>
    <r>
      <t>変えたい</t>
    </r>
    <r>
      <rPr>
        <sz val="11"/>
        <color rgb="FF0000FF"/>
        <rFont val="ＭＳ Ｐゴシック"/>
        <family val="3"/>
        <charset val="128"/>
      </rPr>
      <t>学年の欄</t>
    </r>
    <r>
      <rPr>
        <sz val="11"/>
        <color theme="1"/>
        <rFont val="ＭＳ Ｐゴシック"/>
        <family val="2"/>
        <charset val="128"/>
        <scheme val="minor"/>
      </rPr>
      <t>（セルの値が'</t>
    </r>
    <r>
      <rPr>
        <sz val="11"/>
        <color indexed="12"/>
        <rFont val="ＭＳ Ｐゴシック"/>
        <family val="3"/>
        <charset val="128"/>
      </rPr>
      <t>学年</t>
    </r>
    <r>
      <rPr>
        <sz val="11"/>
        <color theme="1"/>
        <rFont val="ＭＳ Ｐゴシック"/>
        <family val="2"/>
        <charset val="128"/>
        <scheme val="minor"/>
      </rPr>
      <t>'･･･）をクリックして、「</t>
    </r>
    <r>
      <rPr>
        <sz val="11"/>
        <color indexed="12"/>
        <rFont val="ＭＳ Ｐゴシック"/>
        <family val="3"/>
        <charset val="128"/>
      </rPr>
      <t>ルールの編集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0" eb="1">
      <t>カ</t>
    </rPh>
    <rPh sb="4" eb="6">
      <t>ガクネン</t>
    </rPh>
    <rPh sb="7" eb="8">
      <t>ラン</t>
    </rPh>
    <rPh sb="12" eb="13">
      <t>アタイ</t>
    </rPh>
    <rPh sb="15" eb="17">
      <t>ガクネン</t>
    </rPh>
    <rPh sb="35" eb="37">
      <t>ヘンシュウ</t>
    </rPh>
    <phoneticPr fontId="4"/>
  </si>
  <si>
    <r>
      <t>書式ルールの表示のところを「</t>
    </r>
    <r>
      <rPr>
        <sz val="11"/>
        <color rgb="FF0000FF"/>
        <rFont val="ＭＳ Ｐゴシック"/>
        <family val="3"/>
        <charset val="128"/>
      </rPr>
      <t>このワークシート」</t>
    </r>
    <r>
      <rPr>
        <sz val="11"/>
        <rFont val="ＭＳ Ｐゴシック"/>
        <family val="3"/>
        <charset val="128"/>
      </rPr>
      <t>に変更する</t>
    </r>
    <rPh sb="0" eb="2">
      <t>ショシキ</t>
    </rPh>
    <rPh sb="6" eb="8">
      <t>ヒョウジ</t>
    </rPh>
    <rPh sb="24" eb="26">
      <t>ヘンコウ</t>
    </rPh>
    <phoneticPr fontId="2"/>
  </si>
  <si>
    <r>
      <t>一番右の「</t>
    </r>
    <r>
      <rPr>
        <sz val="11"/>
        <color indexed="12"/>
        <rFont val="ＭＳ Ｐゴシック"/>
        <family val="3"/>
        <charset val="128"/>
      </rPr>
      <t>検索と選択</t>
    </r>
    <r>
      <rPr>
        <sz val="11"/>
        <color theme="1"/>
        <rFont val="ＭＳ Ｐゴシック"/>
        <family val="2"/>
        <charset val="128"/>
        <scheme val="minor"/>
      </rPr>
      <t>」をクリック</t>
    </r>
    <rPh sb="0" eb="2">
      <t>イチバン</t>
    </rPh>
    <rPh sb="2" eb="3">
      <t>ミギ</t>
    </rPh>
    <rPh sb="5" eb="7">
      <t>ケンサク</t>
    </rPh>
    <rPh sb="8" eb="10">
      <t>センタク</t>
    </rPh>
    <phoneticPr fontId="4"/>
  </si>
  <si>
    <t>検索したい範囲をドラッグして四角で囲む</t>
    <rPh sb="0" eb="2">
      <t>ケンサク</t>
    </rPh>
    <rPh sb="5" eb="7">
      <t>ハンイ</t>
    </rPh>
    <rPh sb="14" eb="16">
      <t>シカク</t>
    </rPh>
    <rPh sb="17" eb="18">
      <t>カコ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</si>
  <si>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検索</t>
    </r>
    <r>
      <rPr>
        <sz val="11"/>
        <rFont val="ＭＳ Ｐゴシック"/>
        <family val="3"/>
        <charset val="128"/>
      </rPr>
      <t>｣をクリック</t>
    </r>
    <rPh sb="1" eb="3">
      <t>ケンサク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</si>
  <si>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オプション</t>
    </r>
    <r>
      <rPr>
        <sz val="11"/>
        <rFont val="ＭＳ Ｐゴシック"/>
        <family val="3"/>
        <charset val="128"/>
      </rPr>
      <t>｣をクリック</t>
    </r>
    <phoneticPr fontId="2"/>
  </si>
  <si>
    <r>
      <t>｢</t>
    </r>
    <r>
      <rPr>
        <sz val="11"/>
        <color rgb="FF0000FF"/>
        <rFont val="ＭＳ Ｐゴシック"/>
        <family val="3"/>
        <charset val="128"/>
      </rPr>
      <t>書式</t>
    </r>
    <r>
      <rPr>
        <sz val="11"/>
        <rFont val="ＭＳ Ｐゴシック"/>
        <family val="3"/>
        <charset val="128"/>
      </rPr>
      <t>｣をクリック</t>
    </r>
    <rPh sb="1" eb="3">
      <t>ショシキ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</si>
  <si>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塗りつぶし</t>
    </r>
    <r>
      <rPr>
        <sz val="11"/>
        <rFont val="ＭＳ Ｐゴシック"/>
        <family val="3"/>
        <charset val="128"/>
      </rPr>
      <t>｣をクリックして、検索したい色を選択して｢</t>
    </r>
    <r>
      <rPr>
        <sz val="11"/>
        <color rgb="FF0000FF"/>
        <rFont val="ＭＳ Ｐゴシック"/>
        <family val="3"/>
        <charset val="128"/>
      </rPr>
      <t>ＯＫ</t>
    </r>
    <r>
      <rPr>
        <sz val="11"/>
        <rFont val="ＭＳ Ｐゴシック"/>
        <family val="3"/>
        <charset val="128"/>
      </rPr>
      <t>｣をクリックしてください</t>
    </r>
    <rPh sb="1" eb="2">
      <t>ヌ</t>
    </rPh>
    <rPh sb="15" eb="17">
      <t>ケンサク</t>
    </rPh>
    <rPh sb="20" eb="21">
      <t>イロ</t>
    </rPh>
    <rPh sb="22" eb="24">
      <t>センタク</t>
    </rPh>
    <phoneticPr fontId="2"/>
  </si>
  <si>
    <r>
      <t>｢</t>
    </r>
    <r>
      <rPr>
        <sz val="11"/>
        <color rgb="FF0000FF"/>
        <rFont val="ＭＳ Ｐゴシック"/>
        <family val="3"/>
        <charset val="128"/>
      </rPr>
      <t>すべて検索</t>
    </r>
    <r>
      <rPr>
        <sz val="11"/>
        <rFont val="ＭＳ Ｐゴシック"/>
        <family val="3"/>
        <charset val="128"/>
      </rPr>
      <t>｣をクリックすると検索が実行されます</t>
    </r>
    <rPh sb="4" eb="6">
      <t>ケンサク</t>
    </rPh>
    <rPh sb="15" eb="17">
      <t>ケンサク</t>
    </rPh>
    <rPh sb="18" eb="20">
      <t>ジッコウ</t>
    </rPh>
    <phoneticPr fontId="2"/>
  </si>
  <si>
    <t>鈴木</t>
    <rPh sb="0" eb="2">
      <t>スズキ</t>
    </rPh>
    <phoneticPr fontId="4"/>
  </si>
  <si>
    <t>教務部用</t>
    <rPh sb="0" eb="2">
      <t>キョウム</t>
    </rPh>
    <rPh sb="2" eb="3">
      <t>ブ</t>
    </rPh>
    <rPh sb="3" eb="4">
      <t>ヨウ</t>
    </rPh>
    <phoneticPr fontId="2"/>
  </si>
  <si>
    <t>全学年用</t>
    <rPh sb="0" eb="3">
      <t>ゼンガクネン</t>
    </rPh>
    <rPh sb="3" eb="4">
      <t>ヨウ</t>
    </rPh>
    <phoneticPr fontId="2"/>
  </si>
  <si>
    <t>・</t>
    <phoneticPr fontId="2"/>
  </si>
  <si>
    <t>共通</t>
    <rPh sb="0" eb="2">
      <t>キョウツウ</t>
    </rPh>
    <phoneticPr fontId="2"/>
  </si>
  <si>
    <r>
      <t>授業数をカウントし直したいときは、</t>
    </r>
    <r>
      <rPr>
        <sz val="14"/>
        <color rgb="FFFF0000"/>
        <rFont val="ＭＳ Ｐゴシック"/>
        <family val="3"/>
        <charset val="128"/>
      </rPr>
      <t>Ctrl+Alt+F9</t>
    </r>
    <r>
      <rPr>
        <sz val="11"/>
        <rFont val="ＭＳ Ｐゴシック"/>
        <family val="3"/>
        <charset val="128"/>
      </rPr>
      <t>で再計算</t>
    </r>
    <rPh sb="0" eb="2">
      <t>ジュギョウ</t>
    </rPh>
    <rPh sb="2" eb="3">
      <t>スウ</t>
    </rPh>
    <rPh sb="9" eb="10">
      <t>ナオ</t>
    </rPh>
    <phoneticPr fontId="2"/>
  </si>
  <si>
    <r>
      <t>(</t>
    </r>
    <r>
      <rPr>
        <b/>
        <sz val="18"/>
        <rFont val="HG丸ｺﾞｼｯｸM-PRO"/>
        <family val="3"/>
        <charset val="128"/>
      </rPr>
      <t>９４８－００３０</t>
    </r>
    <phoneticPr fontId="4"/>
  </si>
  <si>
    <t>本校</t>
    <rPh sb="0" eb="2">
      <t>ホンコウ</t>
    </rPh>
    <phoneticPr fontId="2"/>
  </si>
  <si>
    <t>南</t>
    <rPh sb="0" eb="1">
      <t>ミナミ</t>
    </rPh>
    <phoneticPr fontId="2"/>
  </si>
  <si>
    <t>下の先生の名前が入力されているセルと少しでも色が違う場合は、カウントされないので注意して下さい</t>
    <rPh sb="0" eb="1">
      <t>シタ</t>
    </rPh>
    <rPh sb="2" eb="4">
      <t>センセイ</t>
    </rPh>
    <rPh sb="5" eb="7">
      <t>ナマエ</t>
    </rPh>
    <rPh sb="8" eb="10">
      <t>ニュウリョク</t>
    </rPh>
    <rPh sb="18" eb="19">
      <t>スコ</t>
    </rPh>
    <rPh sb="22" eb="23">
      <t>イロ</t>
    </rPh>
    <rPh sb="24" eb="25">
      <t>チガ</t>
    </rPh>
    <rPh sb="26" eb="28">
      <t>バアイ</t>
    </rPh>
    <rPh sb="40" eb="42">
      <t>チュウイ</t>
    </rPh>
    <rPh sb="44" eb="45">
      <t>クダ</t>
    </rPh>
    <phoneticPr fontId="2"/>
  </si>
  <si>
    <t>「このファイルを信頼済みドキュメントにしますか」が出てきた場合は「はい」をクリック</t>
    <rPh sb="8" eb="10">
      <t>シンライ</t>
    </rPh>
    <rPh sb="10" eb="11">
      <t>ズ</t>
    </rPh>
    <rPh sb="25" eb="26">
      <t>デ</t>
    </rPh>
    <rPh sb="29" eb="31">
      <t>バアイ</t>
    </rPh>
    <phoneticPr fontId="2"/>
  </si>
  <si>
    <t>エクセルを開いたときに上に出てくる「コンテンツの有効化」をクリック</t>
    <rPh sb="5" eb="6">
      <t>ヒラ</t>
    </rPh>
    <rPh sb="11" eb="12">
      <t>ウエ</t>
    </rPh>
    <rPh sb="13" eb="14">
      <t>デ</t>
    </rPh>
    <rPh sb="24" eb="26">
      <t>ユウコウ</t>
    </rPh>
    <rPh sb="26" eb="27">
      <t>カ</t>
    </rPh>
    <phoneticPr fontId="2"/>
  </si>
  <si>
    <t>条件付き書式使用</t>
    <rPh sb="0" eb="2">
      <t>ジョウケン</t>
    </rPh>
    <rPh sb="2" eb="3">
      <t>ツ</t>
    </rPh>
    <rPh sb="4" eb="6">
      <t>ショシキ</t>
    </rPh>
    <rPh sb="6" eb="8">
      <t>シヨウ</t>
    </rPh>
    <phoneticPr fontId="2"/>
  </si>
  <si>
    <t>マクロ使用</t>
    <rPh sb="3" eb="5">
      <t>シヨウ</t>
    </rPh>
    <phoneticPr fontId="2"/>
  </si>
  <si>
    <r>
      <t>自動での色塗りは1,2,3,4,5,6</t>
    </r>
    <r>
      <rPr>
        <u/>
        <sz val="11"/>
        <rFont val="ＭＳ Ｐゴシック"/>
        <family val="3"/>
        <charset val="128"/>
      </rPr>
      <t>から始まるとき</t>
    </r>
    <r>
      <rPr>
        <sz val="11"/>
        <rFont val="ＭＳ Ｐゴシック"/>
        <family val="3"/>
        <charset val="128"/>
      </rPr>
      <t>に塗りつぶしされます</t>
    </r>
    <rPh sb="0" eb="2">
      <t>ジドウ</t>
    </rPh>
    <rPh sb="4" eb="5">
      <t>イロ</t>
    </rPh>
    <rPh sb="5" eb="6">
      <t>ヌ</t>
    </rPh>
    <rPh sb="21" eb="22">
      <t>ハジ</t>
    </rPh>
    <rPh sb="27" eb="28">
      <t>ヌ</t>
    </rPh>
    <phoneticPr fontId="2"/>
  </si>
  <si>
    <t>特定の色がついたセルを検索する方法</t>
    <rPh sb="0" eb="2">
      <t>トクテイ</t>
    </rPh>
    <rPh sb="3" eb="4">
      <t>イロ</t>
    </rPh>
    <rPh sb="11" eb="13">
      <t>ケンサク</t>
    </rPh>
    <rPh sb="15" eb="17">
      <t>ホウホウ</t>
    </rPh>
    <phoneticPr fontId="2"/>
  </si>
  <si>
    <t>６IW算</t>
    <rPh sb="3" eb="4">
      <t>サン</t>
    </rPh>
    <phoneticPr fontId="4"/>
  </si>
  <si>
    <t>６IW国</t>
    <rPh sb="3" eb="4">
      <t>コク</t>
    </rPh>
    <phoneticPr fontId="4"/>
  </si>
  <si>
    <t>5:15～４Ｇ英</t>
    <rPh sb="7" eb="8">
      <t>エイ</t>
    </rPh>
    <phoneticPr fontId="4"/>
  </si>
  <si>
    <t>２Ａ理</t>
    <rPh sb="2" eb="3">
      <t>リ</t>
    </rPh>
    <phoneticPr fontId="4"/>
  </si>
  <si>
    <t>２Ａ社</t>
    <rPh sb="2" eb="3">
      <t>シャ</t>
    </rPh>
    <phoneticPr fontId="4"/>
  </si>
  <si>
    <t>金子</t>
    <rPh sb="0" eb="2">
      <t>カネコ</t>
    </rPh>
    <phoneticPr fontId="4"/>
  </si>
  <si>
    <t>３Ｓ英</t>
  </si>
  <si>
    <t>３Ｓ理</t>
  </si>
  <si>
    <t>１Ｂ数</t>
  </si>
  <si>
    <t>３Ｘ数</t>
  </si>
  <si>
    <t>６Ｓ英</t>
    <phoneticPr fontId="4"/>
  </si>
  <si>
    <t>６Ａ英</t>
    <phoneticPr fontId="4"/>
  </si>
  <si>
    <t>５Ｓ英</t>
    <rPh sb="2" eb="3">
      <t>エイ</t>
    </rPh>
    <phoneticPr fontId="2"/>
  </si>
  <si>
    <t>１Ｂ英</t>
    <phoneticPr fontId="4"/>
  </si>
  <si>
    <t>１Ａ数</t>
    <phoneticPr fontId="4"/>
  </si>
  <si>
    <t>５Ａ英</t>
    <phoneticPr fontId="2"/>
  </si>
  <si>
    <t>１Ｂ英</t>
  </si>
  <si>
    <t>３Ｓ社</t>
    <phoneticPr fontId="4"/>
  </si>
  <si>
    <t>６Ｓ国</t>
    <phoneticPr fontId="4"/>
  </si>
  <si>
    <t>１Ｓ数</t>
    <phoneticPr fontId="4"/>
  </si>
  <si>
    <t>３Ｓ国</t>
    <phoneticPr fontId="4"/>
  </si>
  <si>
    <t>３Ａ国</t>
    <phoneticPr fontId="4"/>
  </si>
  <si>
    <t>２Ａ英</t>
    <phoneticPr fontId="4"/>
  </si>
  <si>
    <t>３Ａ社</t>
    <phoneticPr fontId="4"/>
  </si>
  <si>
    <t>４Ａ国</t>
    <phoneticPr fontId="4"/>
  </si>
  <si>
    <t>６Ａ国</t>
    <phoneticPr fontId="4"/>
  </si>
  <si>
    <t>２Ａ数</t>
    <phoneticPr fontId="4"/>
  </si>
  <si>
    <t>３Ａ英</t>
    <phoneticPr fontId="4"/>
  </si>
  <si>
    <t>３Ｂ英</t>
    <phoneticPr fontId="4"/>
  </si>
  <si>
    <t>３Ｂ数</t>
    <phoneticPr fontId="4"/>
  </si>
  <si>
    <t>５Ｘ国</t>
    <phoneticPr fontId="4"/>
  </si>
  <si>
    <t>４Ｘ国</t>
    <phoneticPr fontId="4"/>
  </si>
  <si>
    <t>金城</t>
    <rPh sb="0" eb="2">
      <t>キンジョウ</t>
    </rPh>
    <phoneticPr fontId="4"/>
  </si>
  <si>
    <t>小学部4:55～6:15</t>
    <rPh sb="0" eb="3">
      <t>ショウガクブ</t>
    </rPh>
    <phoneticPr fontId="4"/>
  </si>
  <si>
    <t>⑥</t>
    <phoneticPr fontId="4"/>
  </si>
  <si>
    <t>６Ｘ国</t>
    <rPh sb="2" eb="3">
      <t>コク</t>
    </rPh>
    <phoneticPr fontId="4"/>
  </si>
  <si>
    <t>４Ｘ算</t>
    <rPh sb="2" eb="3">
      <t>サン</t>
    </rPh>
    <phoneticPr fontId="4"/>
  </si>
  <si>
    <t>３Ａ数</t>
    <phoneticPr fontId="4"/>
  </si>
  <si>
    <t>⑦</t>
    <phoneticPr fontId="4"/>
  </si>
  <si>
    <t>※</t>
  </si>
  <si>
    <t>で囲んだ授業は、スクーリング（塾に来てうけていただく）授業です</t>
    <rPh sb="1" eb="2">
      <t>カコ</t>
    </rPh>
    <rPh sb="4" eb="6">
      <t>ジュギョウ</t>
    </rPh>
    <rPh sb="15" eb="16">
      <t>ジュク</t>
    </rPh>
    <rPh sb="17" eb="18">
      <t>キ</t>
    </rPh>
    <rPh sb="27" eb="29">
      <t>ジュギョウ</t>
    </rPh>
    <phoneticPr fontId="4"/>
  </si>
  <si>
    <t>１Ｓ国</t>
    <phoneticPr fontId="4"/>
  </si>
  <si>
    <t>１Ｓ英</t>
    <phoneticPr fontId="4"/>
  </si>
  <si>
    <t>６Ｓ算</t>
    <phoneticPr fontId="4"/>
  </si>
  <si>
    <t>６Ｓ英</t>
    <phoneticPr fontId="2"/>
  </si>
  <si>
    <t>高山</t>
    <rPh sb="0" eb="2">
      <t>タカヤマ</t>
    </rPh>
    <phoneticPr fontId="4"/>
  </si>
  <si>
    <t>１Ｂ数</t>
    <phoneticPr fontId="4"/>
  </si>
  <si>
    <t>２X英</t>
    <phoneticPr fontId="4"/>
  </si>
  <si>
    <r>
      <rPr>
        <b/>
        <sz val="14"/>
        <color rgb="FFFFFF00"/>
        <rFont val="ＭＳ Ｐゴシック"/>
        <family val="3"/>
        <charset val="128"/>
      </rPr>
      <t>●オンライン</t>
    </r>
    <r>
      <rPr>
        <b/>
        <sz val="14"/>
        <color theme="0"/>
        <rFont val="ＭＳ Ｐゴシック"/>
        <family val="3"/>
        <charset val="128"/>
      </rPr>
      <t>授業の『クラスＩＤ』は、教室番号ごとに設定（以下参照）されています。ＺＯＯＭの</t>
    </r>
    <r>
      <rPr>
        <b/>
        <sz val="14"/>
        <color rgb="FFFF0000"/>
        <rFont val="ＭＳ Ｐゴシック"/>
        <family val="3"/>
        <charset val="128"/>
      </rPr>
      <t>パスワードは</t>
    </r>
    <r>
      <rPr>
        <b/>
        <sz val="16"/>
        <color theme="0"/>
        <rFont val="ＭＳ Ｐゴシック"/>
        <family val="3"/>
        <charset val="128"/>
      </rPr>
      <t>『</t>
    </r>
    <r>
      <rPr>
        <b/>
        <sz val="16"/>
        <color rgb="FFFF0000"/>
        <rFont val="AR P丸ゴシック体E"/>
        <family val="3"/>
        <charset val="128"/>
      </rPr>
      <t>１２３４５</t>
    </r>
    <r>
      <rPr>
        <b/>
        <sz val="16"/>
        <color theme="0"/>
        <rFont val="ＭＳ Ｐゴシック"/>
        <family val="3"/>
        <charset val="128"/>
      </rPr>
      <t>』</t>
    </r>
    <r>
      <rPr>
        <b/>
        <sz val="14"/>
        <color theme="0"/>
        <rFont val="ＭＳ Ｐゴシック"/>
        <family val="3"/>
        <charset val="128"/>
      </rPr>
      <t>です／５分前入室厳守</t>
    </r>
    <r>
      <rPr>
        <b/>
        <sz val="14"/>
        <color rgb="FFFFFF00"/>
        <rFont val="ＭＳ Ｐゴシック"/>
        <family val="3"/>
        <charset val="128"/>
      </rPr>
      <t>●</t>
    </r>
    <rPh sb="18" eb="20">
      <t>キョウシツ</t>
    </rPh>
    <rPh sb="20" eb="22">
      <t>バンゴウ</t>
    </rPh>
    <rPh sb="25" eb="27">
      <t>セッテイ</t>
    </rPh>
    <rPh sb="28" eb="30">
      <t>イカ</t>
    </rPh>
    <rPh sb="30" eb="32">
      <t>サンショウ</t>
    </rPh>
    <rPh sb="62" eb="63">
      <t>フン</t>
    </rPh>
    <rPh sb="63" eb="64">
      <t>マエ</t>
    </rPh>
    <rPh sb="64" eb="66">
      <t>ニュウシツ</t>
    </rPh>
    <rPh sb="66" eb="68">
      <t>ゲンシュ</t>
    </rPh>
    <phoneticPr fontId="4"/>
  </si>
  <si>
    <r>
      <t>教室①ＩＤ</t>
    </r>
    <r>
      <rPr>
        <b/>
        <sz val="18"/>
        <color rgb="FF0000FF"/>
        <rFont val="AR P丸ゴシック体E"/>
        <family val="3"/>
        <charset val="128"/>
      </rPr>
      <t>949-711-9710</t>
    </r>
    <r>
      <rPr>
        <b/>
        <sz val="18"/>
        <color rgb="FF0000FF"/>
        <rFont val="ＭＳ Ｐゴシック"/>
        <family val="3"/>
        <charset val="128"/>
      </rPr>
      <t>　　教室②ＩＤ</t>
    </r>
    <r>
      <rPr>
        <b/>
        <sz val="18"/>
        <color rgb="FF0000FF"/>
        <rFont val="AR P丸ゴシック体E"/>
        <family val="3"/>
        <charset val="128"/>
      </rPr>
      <t>286-124-4895</t>
    </r>
    <r>
      <rPr>
        <b/>
        <sz val="18"/>
        <color rgb="FF0000FF"/>
        <rFont val="ＭＳ Ｐゴシック"/>
        <family val="3"/>
        <charset val="128"/>
      </rPr>
      <t>　　教室③ＩＤ</t>
    </r>
    <r>
      <rPr>
        <b/>
        <sz val="18"/>
        <color rgb="FF0000FF"/>
        <rFont val="AR P丸ゴシック体E"/>
        <family val="3"/>
        <charset val="128"/>
      </rPr>
      <t>588-309-9324</t>
    </r>
    <r>
      <rPr>
        <b/>
        <sz val="18"/>
        <color rgb="FF0000FF"/>
        <rFont val="ＭＳ Ｐゴシック"/>
        <family val="3"/>
        <charset val="128"/>
      </rPr>
      <t>　　</t>
    </r>
    <rPh sb="0" eb="2">
      <t>キョウシツ</t>
    </rPh>
    <phoneticPr fontId="4"/>
  </si>
  <si>
    <r>
      <t>教室④ＩＤ</t>
    </r>
    <r>
      <rPr>
        <b/>
        <sz val="18"/>
        <color rgb="FF0000FF"/>
        <rFont val="AR P丸ゴシック体E"/>
        <family val="3"/>
        <charset val="128"/>
      </rPr>
      <t xml:space="preserve">306-798-3739　 </t>
    </r>
    <r>
      <rPr>
        <b/>
        <sz val="18"/>
        <color rgb="FF0000FF"/>
        <rFont val="ＭＳ Ｐゴシック"/>
        <family val="3"/>
        <charset val="128"/>
        <scheme val="major"/>
      </rPr>
      <t>教室⑥ＩＤ</t>
    </r>
    <r>
      <rPr>
        <b/>
        <sz val="18"/>
        <color rgb="FF0000FF"/>
        <rFont val="AR P丸ゴシック体E"/>
        <family val="3"/>
        <charset val="128"/>
      </rPr>
      <t>250-163-2659　</t>
    </r>
    <r>
      <rPr>
        <sz val="18"/>
        <color rgb="FF0000FF"/>
        <rFont val="AR P丸ゴシック体E"/>
        <family val="3"/>
        <charset val="128"/>
      </rPr>
      <t xml:space="preserve"> </t>
    </r>
    <r>
      <rPr>
        <b/>
        <sz val="18"/>
        <color rgb="FF0000FF"/>
        <rFont val="ＭＳ Ｐゴシック"/>
        <family val="3"/>
        <charset val="128"/>
        <scheme val="major"/>
      </rPr>
      <t>教室⑦ＩＤ</t>
    </r>
    <r>
      <rPr>
        <b/>
        <sz val="18"/>
        <color rgb="FF0000FF"/>
        <rFont val="AR P丸ゴシック体E"/>
        <family val="3"/>
        <charset val="128"/>
      </rPr>
      <t>770-775-7842</t>
    </r>
    <r>
      <rPr>
        <b/>
        <sz val="18"/>
        <color rgb="FF0000FF"/>
        <rFont val="ＭＳ Ｐゴシック"/>
        <family val="3"/>
        <charset val="128"/>
      </rPr>
      <t>　</t>
    </r>
    <rPh sb="0" eb="2">
      <t>キョウシツ</t>
    </rPh>
    <phoneticPr fontId="4"/>
  </si>
  <si>
    <r>
      <t>教室①ＩＤ</t>
    </r>
    <r>
      <rPr>
        <b/>
        <sz val="18"/>
        <color rgb="FF0000FF"/>
        <rFont val="AR P丸ゴシック体E"/>
        <family val="3"/>
        <charset val="128"/>
      </rPr>
      <t>292-115-1272</t>
    </r>
    <r>
      <rPr>
        <b/>
        <sz val="18"/>
        <color rgb="FF0000FF"/>
        <rFont val="ＭＳ Ｐゴシック"/>
        <family val="3"/>
        <charset val="128"/>
      </rPr>
      <t>　　教室②ＩＤ</t>
    </r>
    <r>
      <rPr>
        <b/>
        <sz val="18"/>
        <color rgb="FF0000FF"/>
        <rFont val="AR P丸ゴシック体E"/>
        <family val="3"/>
        <charset val="128"/>
      </rPr>
      <t>770-775-7842</t>
    </r>
    <r>
      <rPr>
        <b/>
        <sz val="18"/>
        <color rgb="FF0000FF"/>
        <rFont val="ＭＳ Ｐゴシック"/>
        <family val="3"/>
        <charset val="128"/>
      </rPr>
      <t>　　教室③ＩＤ</t>
    </r>
    <r>
      <rPr>
        <b/>
        <sz val="18"/>
        <color rgb="FF0000FF"/>
        <rFont val="AR P丸ゴシック体E"/>
        <family val="3"/>
        <charset val="128"/>
      </rPr>
      <t>372-128-7174</t>
    </r>
    <r>
      <rPr>
        <b/>
        <sz val="18"/>
        <color rgb="FF0000FF"/>
        <rFont val="ＭＳ Ｐゴシック"/>
        <family val="3"/>
        <charset val="128"/>
      </rPr>
      <t>　　</t>
    </r>
    <rPh sb="0" eb="2">
      <t>キョウシツ</t>
    </rPh>
    <phoneticPr fontId="4"/>
  </si>
  <si>
    <r>
      <t>教室④ＩＤ</t>
    </r>
    <r>
      <rPr>
        <b/>
        <sz val="18"/>
        <color rgb="FF0000FF"/>
        <rFont val="AR P丸ゴシック体E"/>
        <family val="3"/>
        <charset val="128"/>
      </rPr>
      <t>250-163-2659</t>
    </r>
    <r>
      <rPr>
        <b/>
        <sz val="18"/>
        <color rgb="FF0000FF"/>
        <rFont val="ＭＳ Ｐゴシック"/>
        <family val="3"/>
        <charset val="128"/>
      </rPr>
      <t>　　教室⑤ＩＤ</t>
    </r>
    <r>
      <rPr>
        <b/>
        <sz val="18"/>
        <color rgb="FF0000FF"/>
        <rFont val="AR P丸ゴシック体E"/>
        <family val="3"/>
        <charset val="128"/>
      </rPr>
      <t xml:space="preserve">306-798-3739　 </t>
    </r>
    <r>
      <rPr>
        <b/>
        <sz val="18"/>
        <color rgb="FF0000FF"/>
        <rFont val="ＭＳ Ｐゴシック"/>
        <family val="3"/>
        <charset val="128"/>
        <scheme val="major"/>
      </rPr>
      <t>教室⑥ＩＤ</t>
    </r>
    <r>
      <rPr>
        <b/>
        <sz val="18"/>
        <color rgb="FF0000FF"/>
        <rFont val="AR P丸ゴシック体E"/>
        <family val="3"/>
        <charset val="128"/>
      </rPr>
      <t>588-309-9324　</t>
    </r>
    <r>
      <rPr>
        <sz val="18"/>
        <color rgb="FF0000FF"/>
        <rFont val="AR P丸ゴシック体E"/>
        <family val="3"/>
        <charset val="128"/>
      </rPr>
      <t xml:space="preserve"> </t>
    </r>
    <r>
      <rPr>
        <b/>
        <sz val="18"/>
        <color rgb="FF0000FF"/>
        <rFont val="ＭＳ Ｐゴシック"/>
        <family val="3"/>
        <charset val="128"/>
        <scheme val="major"/>
      </rPr>
      <t>教室⑦</t>
    </r>
    <r>
      <rPr>
        <b/>
        <sz val="18"/>
        <color rgb="FF0000FF"/>
        <rFont val="AR P丸ゴシック体E"/>
        <family val="3"/>
        <charset val="128"/>
      </rPr>
      <t>ＩＤ286-124-4895</t>
    </r>
    <r>
      <rPr>
        <b/>
        <sz val="18"/>
        <color rgb="FF0000FF"/>
        <rFont val="ＭＳ Ｐゴシック"/>
        <family val="3"/>
        <charset val="128"/>
      </rPr>
      <t>　</t>
    </r>
    <rPh sb="0" eb="2">
      <t>キョウシツ</t>
    </rPh>
    <phoneticPr fontId="4"/>
  </si>
  <si>
    <t>岩本</t>
    <rPh sb="0" eb="2">
      <t>イワモト</t>
    </rPh>
    <phoneticPr fontId="4"/>
  </si>
  <si>
    <t>6:35～8:05</t>
  </si>
  <si>
    <t>6:35～8:05</t>
    <phoneticPr fontId="4"/>
  </si>
  <si>
    <t>中学部・90分単位</t>
    <rPh sb="0" eb="3">
      <t>チュウガクブ</t>
    </rPh>
    <rPh sb="6" eb="7">
      <t>フン</t>
    </rPh>
    <rPh sb="7" eb="9">
      <t>タンイ</t>
    </rPh>
    <phoneticPr fontId="4"/>
  </si>
  <si>
    <t>8:25～9：55</t>
    <phoneticPr fontId="4"/>
  </si>
  <si>
    <t>中学部4:45～6:15</t>
    <rPh sb="0" eb="3">
      <t>チュウガクブ</t>
    </rPh>
    <phoneticPr fontId="4"/>
  </si>
  <si>
    <t>8:25～9:55</t>
    <phoneticPr fontId="4"/>
  </si>
  <si>
    <t>2:55～4:25</t>
  </si>
  <si>
    <t>2:55～4:25</t>
    <phoneticPr fontId="4"/>
  </si>
  <si>
    <t>５Ａ国</t>
    <rPh sb="2" eb="3">
      <t>コク</t>
    </rPh>
    <phoneticPr fontId="2"/>
  </si>
  <si>
    <t>１Ａ英</t>
    <phoneticPr fontId="2"/>
  </si>
  <si>
    <t>２Ｂ英</t>
    <phoneticPr fontId="2"/>
  </si>
  <si>
    <t>４Ａ算</t>
    <phoneticPr fontId="4"/>
  </si>
  <si>
    <t>２Ｓ数</t>
    <phoneticPr fontId="4"/>
  </si>
  <si>
    <t>⑥</t>
    <phoneticPr fontId="4"/>
  </si>
  <si>
    <t>【　　本　　校　・　教　務　部　版　　】</t>
    <rPh sb="3" eb="4">
      <t>ホン</t>
    </rPh>
    <rPh sb="6" eb="7">
      <t>コウ</t>
    </rPh>
    <phoneticPr fontId="4"/>
  </si>
  <si>
    <t>【　　南　教　室　・　教　務　部　版　　】</t>
    <phoneticPr fontId="4"/>
  </si>
  <si>
    <t>５Ａ英</t>
    <rPh sb="2" eb="3">
      <t>エイ</t>
    </rPh>
    <phoneticPr fontId="2"/>
  </si>
  <si>
    <t>２X数</t>
    <phoneticPr fontId="4"/>
  </si>
  <si>
    <t>６Ａ算</t>
    <phoneticPr fontId="4"/>
  </si>
  <si>
    <t>２Ｂ数</t>
    <phoneticPr fontId="4"/>
  </si>
  <si>
    <t>１Ａ英</t>
    <phoneticPr fontId="4"/>
  </si>
  <si>
    <t>５Ｓ算</t>
    <phoneticPr fontId="4"/>
  </si>
  <si>
    <t>２Ｓ英</t>
    <phoneticPr fontId="2"/>
  </si>
  <si>
    <t>⇐教室</t>
    <rPh sb="1" eb="3">
      <t>キョウシツ</t>
    </rPh>
    <phoneticPr fontId="4"/>
  </si>
  <si>
    <t>治彦</t>
    <rPh sb="0" eb="2">
      <t>ハルヒコ</t>
    </rPh>
    <phoneticPr fontId="4"/>
  </si>
  <si>
    <t>３Ａ理</t>
    <phoneticPr fontId="4"/>
  </si>
  <si>
    <t>３Ｓ数</t>
    <phoneticPr fontId="4"/>
  </si>
  <si>
    <t>６Ａ国</t>
    <phoneticPr fontId="2"/>
  </si>
  <si>
    <t>６Ａ英</t>
    <phoneticPr fontId="2"/>
  </si>
  <si>
    <t>２Ｂ英</t>
    <phoneticPr fontId="4"/>
  </si>
  <si>
    <t>１Ａ国</t>
    <phoneticPr fontId="2"/>
  </si>
  <si>
    <t>３Ｘ英</t>
    <phoneticPr fontId="4"/>
  </si>
  <si>
    <t>２Ａ国</t>
    <phoneticPr fontId="2"/>
  </si>
  <si>
    <t>５Ｓ算</t>
    <phoneticPr fontId="2"/>
  </si>
  <si>
    <t>６Ｓ算</t>
    <phoneticPr fontId="2"/>
  </si>
  <si>
    <t>１Ａ数</t>
    <phoneticPr fontId="2"/>
  </si>
  <si>
    <t>２Ｓ数</t>
    <phoneticPr fontId="2"/>
  </si>
  <si>
    <t>３Ｓ数</t>
    <phoneticPr fontId="2"/>
  </si>
  <si>
    <t>３Ｂ英</t>
    <phoneticPr fontId="2"/>
  </si>
  <si>
    <t>３Ｓ英</t>
    <phoneticPr fontId="4"/>
  </si>
  <si>
    <r>
      <t>2026</t>
    </r>
    <r>
      <rPr>
        <b/>
        <sz val="14"/>
        <rFont val="ＭＳ Ｐゴシック"/>
        <family val="3"/>
        <charset val="128"/>
      </rPr>
      <t>年</t>
    </r>
    <phoneticPr fontId="4"/>
  </si>
  <si>
    <r>
      <t xml:space="preserve"> </t>
    </r>
    <r>
      <rPr>
        <b/>
        <sz val="26"/>
        <rFont val="HG丸ｺﾞｼｯｸM-PRO"/>
        <family val="3"/>
        <charset val="128"/>
      </rPr>
      <t>３月スケジュール／</t>
    </r>
    <r>
      <rPr>
        <b/>
        <sz val="26"/>
        <color rgb="FFFF0000"/>
        <rFont val="HG丸ｺﾞｼｯｸM-PRO"/>
        <family val="3"/>
        <charset val="128"/>
      </rPr>
      <t>スクーリング</t>
    </r>
    <r>
      <rPr>
        <b/>
        <sz val="26"/>
        <color theme="1"/>
        <rFont val="HG丸ｺﾞｼｯｸM-PRO"/>
        <family val="3"/>
        <charset val="128"/>
      </rPr>
      <t>＋オンライン</t>
    </r>
    <r>
      <rPr>
        <b/>
        <sz val="26"/>
        <color theme="1"/>
        <rFont val="ＭＳ Ｐゴシック"/>
        <family val="3"/>
        <charset val="128"/>
      </rPr>
      <t>授業</t>
    </r>
    <rPh sb="2" eb="3">
      <t>ガツ</t>
    </rPh>
    <rPh sb="22" eb="24">
      <t>ジュギョウ</t>
    </rPh>
    <phoneticPr fontId="4"/>
  </si>
  <si>
    <t>森松</t>
    <rPh sb="0" eb="2">
      <t>モリマツ</t>
    </rPh>
    <phoneticPr fontId="4"/>
  </si>
  <si>
    <r>
      <t>　</t>
    </r>
    <r>
      <rPr>
        <b/>
        <sz val="14"/>
        <color theme="1"/>
        <rFont val="ＭＳ Ｐゴシック"/>
        <family val="3"/>
        <charset val="128"/>
        <scheme val="major"/>
      </rPr>
      <t>他塾の春期講習にあたる授業を、当塾の中学部では３月～４月に分散して実施します（勉クラの春期講習は</t>
    </r>
    <r>
      <rPr>
        <b/>
        <sz val="14"/>
        <color rgb="FFFF0000"/>
        <rFont val="ＭＳ Ｐゴシック"/>
        <family val="3"/>
        <charset val="128"/>
        <scheme val="major"/>
      </rPr>
      <t>無料</t>
    </r>
    <r>
      <rPr>
        <b/>
        <sz val="14"/>
        <color theme="1"/>
        <rFont val="ＭＳ Ｐゴシック"/>
        <family val="3"/>
        <charset val="128"/>
        <scheme val="major"/>
      </rPr>
      <t>です）。</t>
    </r>
    <r>
      <rPr>
        <b/>
        <sz val="14"/>
        <color indexed="10"/>
        <rFont val="ＭＳ Ｐゴシック"/>
        <family val="3"/>
        <charset val="128"/>
        <scheme val="major"/>
      </rPr>
      <t>　　</t>
    </r>
    <rPh sb="1" eb="3">
      <t>タジュク</t>
    </rPh>
    <rPh sb="4" eb="6">
      <t>シュンキ</t>
    </rPh>
    <rPh sb="6" eb="8">
      <t>コウシュウ</t>
    </rPh>
    <rPh sb="12" eb="14">
      <t>ジュギョウ</t>
    </rPh>
    <rPh sb="16" eb="17">
      <t>トウ</t>
    </rPh>
    <rPh sb="17" eb="18">
      <t>ジュク</t>
    </rPh>
    <rPh sb="19" eb="22">
      <t>チュウガクブ</t>
    </rPh>
    <rPh sb="25" eb="26">
      <t>ガツ</t>
    </rPh>
    <rPh sb="28" eb="29">
      <t>ガツ</t>
    </rPh>
    <rPh sb="30" eb="32">
      <t>ブンサン</t>
    </rPh>
    <rPh sb="34" eb="36">
      <t>ジッシ</t>
    </rPh>
    <rPh sb="40" eb="41">
      <t>ベン</t>
    </rPh>
    <rPh sb="44" eb="46">
      <t>シュンキ</t>
    </rPh>
    <rPh sb="46" eb="48">
      <t>コウシュウ</t>
    </rPh>
    <rPh sb="49" eb="51">
      <t>ムリョウ</t>
    </rPh>
    <phoneticPr fontId="4"/>
  </si>
  <si>
    <t>　ちょっとハードですが、お友達より一歩先を行くための特別編成です。スタートダッシュ。頑張りましょう！　　</t>
    <rPh sb="13" eb="15">
      <t>トモダチ</t>
    </rPh>
    <rPh sb="17" eb="19">
      <t>イッポ</t>
    </rPh>
    <rPh sb="19" eb="20">
      <t>サキ</t>
    </rPh>
    <rPh sb="21" eb="22">
      <t>イ</t>
    </rPh>
    <rPh sb="26" eb="28">
      <t>トクベツ</t>
    </rPh>
    <rPh sb="28" eb="30">
      <t>ヘンセイ</t>
    </rPh>
    <rPh sb="42" eb="44">
      <t>ガンバ</t>
    </rPh>
    <phoneticPr fontId="4"/>
  </si>
  <si>
    <t>●卒業パーティー</t>
    <rPh sb="1" eb="3">
      <t>ソツギョウ</t>
    </rPh>
    <phoneticPr fontId="4"/>
  </si>
  <si>
    <t>★新中３・新中２北辰テスト</t>
    <rPh sb="1" eb="2">
      <t>シン</t>
    </rPh>
    <rPh sb="2" eb="3">
      <t>チュウ</t>
    </rPh>
    <rPh sb="5" eb="6">
      <t>シン</t>
    </rPh>
    <rPh sb="6" eb="7">
      <t>チュウ</t>
    </rPh>
    <rPh sb="8" eb="10">
      <t>ホクシン</t>
    </rPh>
    <phoneticPr fontId="4"/>
  </si>
  <si>
    <r>
      <t>3月新学期生</t>
    </r>
    <r>
      <rPr>
        <sz val="22"/>
        <color rgb="FFFF0066"/>
        <rFont val="AR P明朝体L"/>
        <family val="3"/>
        <charset val="128"/>
      </rPr>
      <t>＊</t>
    </r>
    <r>
      <rPr>
        <sz val="22"/>
        <color rgb="FFFF0066"/>
        <rFont val="AR P丸ゴシック体E"/>
        <family val="3"/>
        <charset val="128"/>
      </rPr>
      <t>募集中！　塾をさがしているお友達がいたらおしえてあげて下さい</t>
    </r>
    <rPh sb="1" eb="2">
      <t>ガツ</t>
    </rPh>
    <rPh sb="2" eb="5">
      <t>シンガッキ</t>
    </rPh>
    <rPh sb="5" eb="6">
      <t>セイ</t>
    </rPh>
    <rPh sb="7" eb="10">
      <t>ボシュウチュウ</t>
    </rPh>
    <rPh sb="12" eb="13">
      <t>ジュク</t>
    </rPh>
    <rPh sb="21" eb="23">
      <t>トモダチ</t>
    </rPh>
    <rPh sb="34" eb="35">
      <t>クダ</t>
    </rPh>
    <phoneticPr fontId="4"/>
  </si>
  <si>
    <r>
      <rPr>
        <b/>
        <sz val="18"/>
        <color rgb="FFFF99FF"/>
        <rFont val="Segoe UI Symbol"/>
        <family val="2"/>
      </rPr>
      <t>🌸🌸</t>
    </r>
    <r>
      <rPr>
        <b/>
        <sz val="18"/>
        <color rgb="FFFF0000"/>
        <rFont val="AR P丸ゴシック体E"/>
        <family val="3"/>
        <charset val="128"/>
      </rPr>
      <t>３月から、学年が一つ上になります。新学年で見るようにして下さい。</t>
    </r>
    <r>
      <rPr>
        <b/>
        <sz val="18"/>
        <color rgb="FFFF99FF"/>
        <rFont val="Segoe UI Symbol"/>
        <family val="2"/>
      </rPr>
      <t>🌸🌸</t>
    </r>
    <rPh sb="5" eb="6">
      <t>ガツ</t>
    </rPh>
    <rPh sb="9" eb="11">
      <t>ガクネン</t>
    </rPh>
    <rPh sb="12" eb="13">
      <t>ヒト</t>
    </rPh>
    <rPh sb="14" eb="15">
      <t>ウエ</t>
    </rPh>
    <rPh sb="21" eb="24">
      <t>シンガクネン</t>
    </rPh>
    <rPh sb="25" eb="26">
      <t>ミ</t>
    </rPh>
    <rPh sb="32" eb="33">
      <t>クダ</t>
    </rPh>
    <phoneticPr fontId="4"/>
  </si>
  <si>
    <t>●2026年度　　新学期開始</t>
    <rPh sb="5" eb="7">
      <t>ネンド</t>
    </rPh>
    <rPh sb="9" eb="12">
      <t>シンガッキ</t>
    </rPh>
    <rPh sb="12" eb="14">
      <t>カイシ</t>
    </rPh>
    <phoneticPr fontId="4"/>
  </si>
  <si>
    <r>
      <t>★３月２日(月)から、新年度・新学期が始まります。勉強クラブではこの３月から、</t>
    </r>
    <r>
      <rPr>
        <b/>
        <sz val="14"/>
        <color rgb="FFFF0000"/>
        <rFont val="HG平成丸ｺﾞｼｯｸ体W8"/>
        <family val="3"/>
        <charset val="128"/>
      </rPr>
      <t>皆さんの学年は “一つ上”</t>
    </r>
    <r>
      <rPr>
        <b/>
        <sz val="14"/>
        <color rgb="FFFF0000"/>
        <rFont val="ＭＳ Ｐゴシック"/>
        <family val="3"/>
        <charset val="128"/>
      </rPr>
      <t xml:space="preserve"> になります。間違えないようにしましょう。</t>
    </r>
    <rPh sb="2" eb="3">
      <t>ガツ</t>
    </rPh>
    <rPh sb="4" eb="5">
      <t>ニチ</t>
    </rPh>
    <rPh sb="6" eb="7">
      <t>ゲツ</t>
    </rPh>
    <rPh sb="11" eb="14">
      <t>シンネンド</t>
    </rPh>
    <rPh sb="15" eb="18">
      <t>シンガッキ</t>
    </rPh>
    <rPh sb="19" eb="20">
      <t>ハジ</t>
    </rPh>
    <rPh sb="25" eb="27">
      <t>ベンキョウ</t>
    </rPh>
    <rPh sb="35" eb="36">
      <t>ガツ</t>
    </rPh>
    <rPh sb="39" eb="40">
      <t>ミナ</t>
    </rPh>
    <rPh sb="43" eb="45">
      <t>ガクネン</t>
    </rPh>
    <rPh sb="48" eb="49">
      <t>ヒト</t>
    </rPh>
    <rPh sb="50" eb="51">
      <t>ウエ</t>
    </rPh>
    <rPh sb="59" eb="61">
      <t>マチガ</t>
    </rPh>
    <phoneticPr fontId="4"/>
  </si>
  <si>
    <t>★３月２日(月)～４月７日(火)は、春期特別授業スケジュールを実施します。いつもとは違う 曜日・時間帯の授業もあります。注意！</t>
    <rPh sb="2" eb="3">
      <t>ガツ</t>
    </rPh>
    <rPh sb="4" eb="5">
      <t>ニチ</t>
    </rPh>
    <rPh sb="6" eb="7">
      <t>ゲツ</t>
    </rPh>
    <rPh sb="10" eb="11">
      <t>ガツ</t>
    </rPh>
    <rPh sb="12" eb="13">
      <t>ニチ</t>
    </rPh>
    <rPh sb="14" eb="15">
      <t>カ</t>
    </rPh>
    <rPh sb="18" eb="24">
      <t>シュンキトクベツジュギョウ</t>
    </rPh>
    <rPh sb="31" eb="33">
      <t>ジッシ</t>
    </rPh>
    <rPh sb="42" eb="43">
      <t>チガ</t>
    </rPh>
    <rPh sb="45" eb="47">
      <t>ヨウビ</t>
    </rPh>
    <rPh sb="48" eb="51">
      <t>ジカンタイ</t>
    </rPh>
    <rPh sb="52" eb="54">
      <t>ジュギョウ</t>
    </rPh>
    <rPh sb="60" eb="62">
      <t>チュウイ</t>
    </rPh>
    <phoneticPr fontId="4"/>
  </si>
  <si>
    <t>千葉県立合格発表</t>
    <rPh sb="0" eb="3">
      <t>チバケン</t>
    </rPh>
    <rPh sb="3" eb="4">
      <t>リツ</t>
    </rPh>
    <rPh sb="4" eb="6">
      <t>ゴウカク</t>
    </rPh>
    <rPh sb="6" eb="8">
      <t>ハッピョウ</t>
    </rPh>
    <phoneticPr fontId="4"/>
  </si>
  <si>
    <t>埼玉県立合格発表</t>
    <rPh sb="0" eb="3">
      <t>サイタマケン</t>
    </rPh>
    <rPh sb="3" eb="4">
      <t>リツ</t>
    </rPh>
    <rPh sb="4" eb="6">
      <t>ゴウカク</t>
    </rPh>
    <rPh sb="6" eb="8">
      <t>ハッピョウ</t>
    </rPh>
    <phoneticPr fontId="4"/>
  </si>
  <si>
    <t>中学卒業式</t>
    <rPh sb="0" eb="2">
      <t>チュウガク</t>
    </rPh>
    <rPh sb="2" eb="5">
      <t>ソツギョウシキ</t>
    </rPh>
    <phoneticPr fontId="4"/>
  </si>
  <si>
    <t>中学校卒業式</t>
    <rPh sb="0" eb="2">
      <t>チュウガク</t>
    </rPh>
    <rPh sb="2" eb="3">
      <t>コウ</t>
    </rPh>
    <rPh sb="3" eb="6">
      <t>ソツギョウシキ</t>
    </rPh>
    <phoneticPr fontId="4"/>
  </si>
  <si>
    <t>八潮小学校卒業式</t>
    <rPh sb="0" eb="2">
      <t>ヤシオ</t>
    </rPh>
    <rPh sb="2" eb="5">
      <t>ショウガッコウ</t>
    </rPh>
    <rPh sb="5" eb="8">
      <t>ソツギョウシキ</t>
    </rPh>
    <phoneticPr fontId="4"/>
  </si>
  <si>
    <t>吉川給食最終日</t>
    <rPh sb="0" eb="2">
      <t>ヨシカワ</t>
    </rPh>
    <rPh sb="2" eb="4">
      <t>キュウショク</t>
    </rPh>
    <rPh sb="4" eb="7">
      <t>サイシュウビ</t>
    </rPh>
    <phoneticPr fontId="4"/>
  </si>
  <si>
    <t>三郷・八潮修了式</t>
    <rPh sb="0" eb="2">
      <t>ミサト</t>
    </rPh>
    <rPh sb="3" eb="5">
      <t>ヤシオ</t>
    </rPh>
    <rPh sb="5" eb="8">
      <t>シュウリョウシキ</t>
    </rPh>
    <phoneticPr fontId="4"/>
  </si>
  <si>
    <t>三郷・八潮給食最終日</t>
    <rPh sb="0" eb="2">
      <t>ミサト</t>
    </rPh>
    <rPh sb="3" eb="5">
      <t>ヤシオ</t>
    </rPh>
    <rPh sb="5" eb="7">
      <t>キュウショク</t>
    </rPh>
    <rPh sb="7" eb="10">
      <t>サイシュウビ</t>
    </rPh>
    <phoneticPr fontId="4"/>
  </si>
  <si>
    <t>吉川給食最終日</t>
    <rPh sb="0" eb="2">
      <t>ヨシカワ</t>
    </rPh>
    <rPh sb="2" eb="7">
      <t>キュウショクサイシュウビ</t>
    </rPh>
    <phoneticPr fontId="4"/>
  </si>
  <si>
    <t>三郷･八潮給食最終日</t>
    <rPh sb="0" eb="2">
      <t>ミサト</t>
    </rPh>
    <rPh sb="3" eb="5">
      <t>ヤシオ</t>
    </rPh>
    <rPh sb="5" eb="7">
      <t>キュウショク</t>
    </rPh>
    <rPh sb="7" eb="10">
      <t>サイシュウビ</t>
    </rPh>
    <phoneticPr fontId="4"/>
  </si>
  <si>
    <t>吉川修了式/三郷小学校卒業式</t>
    <rPh sb="0" eb="2">
      <t>ヨシカワ</t>
    </rPh>
    <rPh sb="2" eb="5">
      <t>シュウリョウシキ</t>
    </rPh>
    <rPh sb="6" eb="8">
      <t>ミサト</t>
    </rPh>
    <rPh sb="8" eb="11">
      <t>ショウガッコウ</t>
    </rPh>
    <rPh sb="11" eb="14">
      <t>ソツギョウシキ</t>
    </rPh>
    <phoneticPr fontId="4"/>
  </si>
  <si>
    <t>カリキュラムにより５Ａ英はお休みします。</t>
    <rPh sb="11" eb="12">
      <t>エイ</t>
    </rPh>
    <rPh sb="14" eb="15">
      <t>ヤス</t>
    </rPh>
    <phoneticPr fontId="4"/>
  </si>
  <si>
    <t>カリキュラムにより６Ｓ英･４Ａ国はお休みします。</t>
    <rPh sb="11" eb="12">
      <t>エイ</t>
    </rPh>
    <rPh sb="15" eb="16">
      <t>コク</t>
    </rPh>
    <rPh sb="18" eb="19">
      <t>ヤス</t>
    </rPh>
    <phoneticPr fontId="4"/>
  </si>
  <si>
    <t>カリキュラムにより５Ｓ算は休みします。</t>
    <rPh sb="11" eb="12">
      <t>サン</t>
    </rPh>
    <rPh sb="13" eb="14">
      <t>ヤス</t>
    </rPh>
    <phoneticPr fontId="4"/>
  </si>
  <si>
    <t>カリキュラムにより５Ａ算･６Ｓ算はお休みします。</t>
    <rPh sb="11" eb="12">
      <t>サン</t>
    </rPh>
    <rPh sb="15" eb="16">
      <t>サン</t>
    </rPh>
    <rPh sb="18" eb="19">
      <t>ヤス</t>
    </rPh>
    <phoneticPr fontId="4"/>
  </si>
  <si>
    <t>１Ａ国</t>
    <phoneticPr fontId="4"/>
  </si>
  <si>
    <t>１Ｂ数</t>
    <phoneticPr fontId="2"/>
  </si>
  <si>
    <t>２Ａ国</t>
    <phoneticPr fontId="4"/>
  </si>
  <si>
    <t>３Ａ数</t>
    <phoneticPr fontId="2"/>
  </si>
  <si>
    <t>英検　　２級①</t>
    <rPh sb="0" eb="2">
      <t>エイケン</t>
    </rPh>
    <rPh sb="5" eb="6">
      <t>キュウ</t>
    </rPh>
    <phoneticPr fontId="4"/>
  </si>
  <si>
    <t>英検　　２級②</t>
    <rPh sb="0" eb="2">
      <t>エイケン</t>
    </rPh>
    <rPh sb="5" eb="6">
      <t>キュウ</t>
    </rPh>
    <phoneticPr fontId="4"/>
  </si>
  <si>
    <t>英検　　準２①</t>
    <rPh sb="0" eb="2">
      <t>エイケン</t>
    </rPh>
    <rPh sb="4" eb="5">
      <t>ジュン</t>
    </rPh>
    <phoneticPr fontId="4"/>
  </si>
  <si>
    <t>英検　　準２②</t>
    <rPh sb="0" eb="2">
      <t>エイケン</t>
    </rPh>
    <rPh sb="4" eb="5">
      <t>ジュン</t>
    </rPh>
    <phoneticPr fontId="4"/>
  </si>
  <si>
    <t>金城南</t>
    <rPh sb="0" eb="2">
      <t>キンジョウ</t>
    </rPh>
    <rPh sb="2" eb="3">
      <t>ミナミ</t>
    </rPh>
    <phoneticPr fontId="4"/>
  </si>
  <si>
    <t>金城・鈴木本校/工藤南</t>
    <rPh sb="0" eb="2">
      <t>キンジョウ</t>
    </rPh>
    <rPh sb="3" eb="5">
      <t>スズキ</t>
    </rPh>
    <rPh sb="5" eb="7">
      <t>ホンコウ</t>
    </rPh>
    <rPh sb="8" eb="10">
      <t>クドウ</t>
    </rPh>
    <rPh sb="10" eb="11">
      <t>ミナミ</t>
    </rPh>
    <phoneticPr fontId="4"/>
  </si>
  <si>
    <t>英語　補講①</t>
    <rPh sb="0" eb="2">
      <t>エイゴ</t>
    </rPh>
    <rPh sb="3" eb="5">
      <t>ホコウ</t>
    </rPh>
    <phoneticPr fontId="4"/>
  </si>
  <si>
    <t>数学　補講①</t>
    <rPh sb="0" eb="2">
      <t>スウガク</t>
    </rPh>
    <rPh sb="3" eb="5">
      <t>ホコウ</t>
    </rPh>
    <phoneticPr fontId="4"/>
  </si>
  <si>
    <t>英語　補講②</t>
    <rPh sb="0" eb="2">
      <t>エイゴ</t>
    </rPh>
    <rPh sb="3" eb="5">
      <t>ホコウ</t>
    </rPh>
    <phoneticPr fontId="4"/>
  </si>
  <si>
    <t>金城本校</t>
    <rPh sb="0" eb="2">
      <t>キンジョウ</t>
    </rPh>
    <rPh sb="2" eb="4">
      <t>ホンコウ</t>
    </rPh>
    <phoneticPr fontId="4"/>
  </si>
  <si>
    <t>英検　　準２③</t>
    <rPh sb="0" eb="2">
      <t>エイケン</t>
    </rPh>
    <rPh sb="4" eb="5">
      <t>ジュン</t>
    </rPh>
    <phoneticPr fontId="4"/>
  </si>
  <si>
    <t>２Ｓ英</t>
    <phoneticPr fontId="4"/>
  </si>
  <si>
    <t>数学　補講②</t>
    <rPh sb="0" eb="2">
      <t>スウガク</t>
    </rPh>
    <rPh sb="3" eb="5">
      <t>ホコウ</t>
    </rPh>
    <phoneticPr fontId="2"/>
  </si>
  <si>
    <t>数学　補講③</t>
    <rPh sb="0" eb="2">
      <t>スウガク</t>
    </rPh>
    <rPh sb="3" eb="5">
      <t>ホコウ</t>
    </rPh>
    <phoneticPr fontId="4"/>
  </si>
  <si>
    <t>英語　補講④</t>
    <rPh sb="0" eb="2">
      <t>エイゴ</t>
    </rPh>
    <rPh sb="3" eb="5">
      <t>ホコウ</t>
    </rPh>
    <phoneticPr fontId="4"/>
  </si>
  <si>
    <t>英語　補講③</t>
    <rPh sb="0" eb="2">
      <t>エイゴ</t>
    </rPh>
    <rPh sb="3" eb="5">
      <t>ホコウ</t>
    </rPh>
    <phoneticPr fontId="4"/>
  </si>
  <si>
    <t>英検　　２級③</t>
    <rPh sb="0" eb="2">
      <t>エイケン</t>
    </rPh>
    <rPh sb="5" eb="6">
      <t>キュウ</t>
    </rPh>
    <phoneticPr fontId="4"/>
  </si>
  <si>
    <t>数学　補講②</t>
    <rPh sb="0" eb="2">
      <t>スウガク</t>
    </rPh>
    <rPh sb="3" eb="5">
      <t>ホコウ</t>
    </rPh>
    <phoneticPr fontId="4"/>
  </si>
  <si>
    <t>数学　補講④</t>
    <rPh sb="0" eb="2">
      <t>スウガク</t>
    </rPh>
    <rPh sb="3" eb="5">
      <t>ホコウ</t>
    </rPh>
    <phoneticPr fontId="4"/>
  </si>
  <si>
    <t>数学　補講④</t>
    <rPh sb="0" eb="2">
      <t>スウガク</t>
    </rPh>
    <rPh sb="3" eb="5">
      <t>ホコウ</t>
    </rPh>
    <phoneticPr fontId="2"/>
  </si>
  <si>
    <t>佐藤事務</t>
    <rPh sb="0" eb="2">
      <t>サトウ</t>
    </rPh>
    <rPh sb="2" eb="4">
      <t>ジム</t>
    </rPh>
    <phoneticPr fontId="4"/>
  </si>
  <si>
    <t>6:50～　診断</t>
    <rPh sb="6" eb="8">
      <t>シンダン</t>
    </rPh>
    <phoneticPr fontId="4"/>
  </si>
  <si>
    <t>★新中２生対象【オンライン入試ガイダンス】を、３月28日(土) 5:00～7:00 で行います。 親子でご参加下さい。 詳しくは後日お知らせいたします。</t>
    <rPh sb="1" eb="2">
      <t>シン</t>
    </rPh>
    <rPh sb="2" eb="3">
      <t>チュウ</t>
    </rPh>
    <rPh sb="4" eb="5">
      <t>セイ</t>
    </rPh>
    <rPh sb="5" eb="7">
      <t>タイショウ</t>
    </rPh>
    <rPh sb="13" eb="15">
      <t>ニュウシ</t>
    </rPh>
    <rPh sb="24" eb="25">
      <t>ガツ</t>
    </rPh>
    <rPh sb="27" eb="28">
      <t>ニチ</t>
    </rPh>
    <rPh sb="29" eb="30">
      <t>ド</t>
    </rPh>
    <rPh sb="43" eb="44">
      <t>オコナ</t>
    </rPh>
    <rPh sb="49" eb="51">
      <t>オヤコ</t>
    </rPh>
    <rPh sb="53" eb="55">
      <t>サンカ</t>
    </rPh>
    <rPh sb="55" eb="56">
      <t>クダ</t>
    </rPh>
    <rPh sb="60" eb="61">
      <t>クワ</t>
    </rPh>
    <rPh sb="64" eb="66">
      <t>ゴジツ</t>
    </rPh>
    <rPh sb="67" eb="68">
      <t>シ</t>
    </rPh>
    <phoneticPr fontId="4"/>
  </si>
  <si>
    <t>★新中２生対象／オンライン進学ガイダンス…5:00～7:00　教室ID 「949 711 9710」　　　　パスワード 「12345」／金城・高山・工藤</t>
    <rPh sb="1" eb="2">
      <t>シン</t>
    </rPh>
    <rPh sb="2" eb="3">
      <t>チュウ</t>
    </rPh>
    <rPh sb="4" eb="7">
      <t>セイタイショウ</t>
    </rPh>
    <rPh sb="13" eb="15">
      <t>シンガク</t>
    </rPh>
    <rPh sb="31" eb="33">
      <t>キョウシツ</t>
    </rPh>
    <rPh sb="68" eb="70">
      <t>キンジョウ</t>
    </rPh>
    <rPh sb="71" eb="73">
      <t>タカヤマ</t>
    </rPh>
    <rPh sb="74" eb="76">
      <t>クドウ</t>
    </rPh>
    <phoneticPr fontId="4"/>
  </si>
  <si>
    <t>鈴木56　工藤49　治彦31　森松26　</t>
    <rPh sb="0" eb="2">
      <t>スズキ</t>
    </rPh>
    <rPh sb="5" eb="7">
      <t>クドウ</t>
    </rPh>
    <rPh sb="10" eb="12">
      <t>ハルヒコ</t>
    </rPh>
    <rPh sb="15" eb="17">
      <t>モリマツ</t>
    </rPh>
    <phoneticPr fontId="4"/>
  </si>
  <si>
    <t>金城38　高山52　金子43　真下38　岩本34　</t>
    <rPh sb="0" eb="2">
      <t>キンジョウ</t>
    </rPh>
    <rPh sb="5" eb="7">
      <t>タカヤマ</t>
    </rPh>
    <rPh sb="10" eb="12">
      <t>カネコ</t>
    </rPh>
    <rPh sb="15" eb="17">
      <t>マシモ</t>
    </rPh>
    <rPh sb="20" eb="22">
      <t>イワモト</t>
    </rPh>
    <phoneticPr fontId="4"/>
  </si>
  <si>
    <t>ガイダンス</t>
    <phoneticPr fontId="4"/>
  </si>
  <si>
    <t>新中２・中３通知表提出</t>
    <rPh sb="0" eb="1">
      <t>シン</t>
    </rPh>
    <rPh sb="1" eb="2">
      <t>チュウ</t>
    </rPh>
    <rPh sb="4" eb="5">
      <t>チュウ</t>
    </rPh>
    <rPh sb="6" eb="9">
      <t>ツウチヒョウ</t>
    </rPh>
    <rPh sb="9" eb="11">
      <t>テイシュツ</t>
    </rPh>
    <phoneticPr fontId="4"/>
  </si>
  <si>
    <t>新中２・中３　　　通知表提出</t>
    <rPh sb="0" eb="1">
      <t>シン</t>
    </rPh>
    <rPh sb="1" eb="2">
      <t>チュウ</t>
    </rPh>
    <rPh sb="4" eb="5">
      <t>チュウ</t>
    </rPh>
    <rPh sb="9" eb="12">
      <t>ツウチヒョウ</t>
    </rPh>
    <rPh sb="12" eb="14">
      <t>テイシュツ</t>
    </rPh>
    <phoneticPr fontId="4"/>
  </si>
  <si>
    <r>
      <t>三郷小学校卒業式/</t>
    </r>
    <r>
      <rPr>
        <sz val="11"/>
        <color rgb="FF0000FF"/>
        <rFont val="ＭＳ Ｐゴシック"/>
        <family val="3"/>
        <charset val="128"/>
      </rPr>
      <t>吉川修了式</t>
    </r>
    <rPh sb="0" eb="2">
      <t>ミサト</t>
    </rPh>
    <rPh sb="2" eb="5">
      <t>ショウガッコウ</t>
    </rPh>
    <rPh sb="5" eb="8">
      <t>ソツギョウシキ</t>
    </rPh>
    <rPh sb="9" eb="11">
      <t>ヨシカワ</t>
    </rPh>
    <rPh sb="11" eb="14">
      <t>シュウリョウシキ</t>
    </rPh>
    <phoneticPr fontId="4"/>
  </si>
  <si>
    <t>★春期特別　　授業開始</t>
    <rPh sb="1" eb="3">
      <t>シュンキ</t>
    </rPh>
    <rPh sb="3" eb="5">
      <t>トクベツ</t>
    </rPh>
    <rPh sb="7" eb="9">
      <t>ジュギョウ</t>
    </rPh>
    <rPh sb="9" eb="11">
      <t>カイシ</t>
    </rPh>
    <phoneticPr fontId="4"/>
  </si>
  <si>
    <t>２Ａ数</t>
    <phoneticPr fontId="2"/>
  </si>
  <si>
    <t>【　　　南　　　教　　　室　　　版　　　】</t>
    <phoneticPr fontId="4"/>
  </si>
  <si>
    <t>【　　　　本　　　　校　　　　版　　　　】</t>
    <rPh sb="5" eb="6">
      <t>ホン</t>
    </rPh>
    <rPh sb="10" eb="11">
      <t>コウ</t>
    </rPh>
    <phoneticPr fontId="4"/>
  </si>
  <si>
    <t>カリキュラムにより５Ｓ算は休み。</t>
    <rPh sb="11" eb="12">
      <t>サン</t>
    </rPh>
    <rPh sb="13" eb="14">
      <t>ヤス</t>
    </rPh>
    <phoneticPr fontId="4"/>
  </si>
  <si>
    <t>カリキュラムにより５Ａ算･６Ｓ算は休み。</t>
    <rPh sb="11" eb="12">
      <t>サン</t>
    </rPh>
    <rPh sb="15" eb="16">
      <t>サン</t>
    </rPh>
    <rPh sb="17" eb="18">
      <t>ヤス</t>
    </rPh>
    <phoneticPr fontId="4"/>
  </si>
  <si>
    <t>金城・工藤・高山本校／鈴木・金子南</t>
    <rPh sb="0" eb="2">
      <t>キンジョウ</t>
    </rPh>
    <rPh sb="3" eb="5">
      <t>クドウ</t>
    </rPh>
    <rPh sb="6" eb="8">
      <t>タカヤマ</t>
    </rPh>
    <rPh sb="8" eb="10">
      <t>ホンコウ</t>
    </rPh>
    <rPh sb="11" eb="13">
      <t>スズキ</t>
    </rPh>
    <rPh sb="14" eb="16">
      <t>カネコ</t>
    </rPh>
    <rPh sb="16" eb="17">
      <t>ミナミ</t>
    </rPh>
    <phoneticPr fontId="4"/>
  </si>
  <si>
    <t>★新中２生対象／オンライン進学ガイダンス…5:00～7:00　教室ID 「949 711 9710」　　　　パスワード 「12345」</t>
    <rPh sb="1" eb="2">
      <t>シン</t>
    </rPh>
    <rPh sb="2" eb="3">
      <t>チュウ</t>
    </rPh>
    <rPh sb="4" eb="7">
      <t>セイタイショウ</t>
    </rPh>
    <rPh sb="13" eb="15">
      <t>シンガク</t>
    </rPh>
    <rPh sb="31" eb="33">
      <t>キョウシツ</t>
    </rPh>
    <phoneticPr fontId="4"/>
  </si>
  <si>
    <t>３Ａ理
対面</t>
    <rPh sb="4" eb="6">
      <t>タイメン</t>
    </rPh>
    <phoneticPr fontId="4"/>
  </si>
  <si>
    <r>
      <t xml:space="preserve"> </t>
    </r>
    <r>
      <rPr>
        <b/>
        <sz val="26"/>
        <rFont val="HG丸ｺﾞｼｯｸM-PRO"/>
        <family val="3"/>
        <charset val="128"/>
      </rPr>
      <t>３月スケジュール／</t>
    </r>
    <r>
      <rPr>
        <b/>
        <sz val="26"/>
        <color rgb="FFFF0000"/>
        <rFont val="HG丸ｺﾞｼｯｸM-PRO"/>
        <family val="3"/>
        <charset val="128"/>
      </rPr>
      <t>スクーリング（対面）</t>
    </r>
    <r>
      <rPr>
        <b/>
        <sz val="26"/>
        <color theme="1"/>
        <rFont val="HG丸ｺﾞｼｯｸM-PRO"/>
        <family val="3"/>
        <charset val="128"/>
      </rPr>
      <t>＋オンライン</t>
    </r>
    <r>
      <rPr>
        <b/>
        <sz val="26"/>
        <color theme="1"/>
        <rFont val="ＭＳ Ｐゴシック"/>
        <family val="3"/>
        <charset val="128"/>
      </rPr>
      <t>授業</t>
    </r>
    <rPh sb="2" eb="3">
      <t>ガツ</t>
    </rPh>
    <rPh sb="17" eb="19">
      <t>タイメン</t>
    </rPh>
    <rPh sb="26" eb="28">
      <t>ジュギョウ</t>
    </rPh>
    <phoneticPr fontId="4"/>
  </si>
  <si>
    <t>数学
補講①</t>
    <rPh sb="0" eb="2">
      <t>スウガク</t>
    </rPh>
    <rPh sb="3" eb="5">
      <t>ホコウ</t>
    </rPh>
    <phoneticPr fontId="4"/>
  </si>
  <si>
    <t>英語
補講①</t>
    <rPh sb="0" eb="2">
      <t>エイゴ</t>
    </rPh>
    <rPh sb="3" eb="5">
      <t>ホコウ</t>
    </rPh>
    <phoneticPr fontId="4"/>
  </si>
  <si>
    <t>英語
補講②</t>
    <rPh sb="0" eb="2">
      <t>エイゴ</t>
    </rPh>
    <rPh sb="3" eb="4">
      <t>ホ</t>
    </rPh>
    <rPh sb="4" eb="5">
      <t>コウ</t>
    </rPh>
    <phoneticPr fontId="4"/>
  </si>
  <si>
    <t>３Ｓ社
対面</t>
    <rPh sb="4" eb="6">
      <t>タイメン</t>
    </rPh>
    <phoneticPr fontId="4"/>
  </si>
  <si>
    <t>３Ａ社
対面</t>
    <rPh sb="4" eb="6">
      <t>タイメン</t>
    </rPh>
    <phoneticPr fontId="4"/>
  </si>
  <si>
    <t>３Ｓ理
対面</t>
    <rPh sb="4" eb="6">
      <t>タイメン</t>
    </rPh>
    <phoneticPr fontId="2"/>
  </si>
  <si>
    <t>6:50～
診断</t>
    <rPh sb="6" eb="8">
      <t>シンダン</t>
    </rPh>
    <phoneticPr fontId="4"/>
  </si>
  <si>
    <t>英検
２級②</t>
    <rPh sb="0" eb="2">
      <t>エイケン</t>
    </rPh>
    <rPh sb="4" eb="5">
      <t>キュウ</t>
    </rPh>
    <phoneticPr fontId="4"/>
  </si>
  <si>
    <t>英検
２級③</t>
    <rPh sb="0" eb="1">
      <t>エイ</t>
    </rPh>
    <phoneticPr fontId="4"/>
  </si>
  <si>
    <t>英検
準２③</t>
    <rPh sb="0" eb="2">
      <t>エイケン</t>
    </rPh>
    <rPh sb="3" eb="4">
      <t>ジュン</t>
    </rPh>
    <phoneticPr fontId="4"/>
  </si>
  <si>
    <t>英検
２級①</t>
    <rPh sb="0" eb="2">
      <t>エイケン</t>
    </rPh>
    <rPh sb="4" eb="5">
      <t>キュウ</t>
    </rPh>
    <phoneticPr fontId="4"/>
  </si>
  <si>
    <t>３Ｓ理
対面</t>
    <rPh sb="4" eb="6">
      <t>タイメン</t>
    </rPh>
    <phoneticPr fontId="4"/>
  </si>
  <si>
    <t>３Ｓ国
対面</t>
    <rPh sb="4" eb="6">
      <t>タイメン</t>
    </rPh>
    <phoneticPr fontId="4"/>
  </si>
  <si>
    <t>３Ａ国
対面</t>
    <rPh sb="4" eb="6">
      <t>タイメン</t>
    </rPh>
    <phoneticPr fontId="4"/>
  </si>
  <si>
    <t>３Ａ社
対面</t>
    <phoneticPr fontId="4"/>
  </si>
  <si>
    <t>３Ｓ社
対面</t>
    <phoneticPr fontId="4"/>
  </si>
  <si>
    <t>３Ａ理
対面</t>
    <phoneticPr fontId="4"/>
  </si>
  <si>
    <t>３Ａ国
対面</t>
    <phoneticPr fontId="4"/>
  </si>
  <si>
    <t>３Ｓ国
対面</t>
    <phoneticPr fontId="4"/>
  </si>
  <si>
    <t>１Ａ国
対面</t>
    <rPh sb="4" eb="6">
      <t>タイメン</t>
    </rPh>
    <phoneticPr fontId="4"/>
  </si>
  <si>
    <t>２Ｓ国
対面</t>
    <rPh sb="2" eb="3">
      <t>コク</t>
    </rPh>
    <rPh sb="4" eb="6">
      <t>タイメン</t>
    </rPh>
    <phoneticPr fontId="4"/>
  </si>
  <si>
    <t>２Ａ国
対面</t>
    <rPh sb="4" eb="6">
      <t>タイメン</t>
    </rPh>
    <phoneticPr fontId="4"/>
  </si>
  <si>
    <t>１Ｓ国
対面</t>
    <rPh sb="4" eb="6">
      <t>タイメン</t>
    </rPh>
    <phoneticPr fontId="4"/>
  </si>
  <si>
    <t>１Ａ国
対面</t>
    <rPh sb="4" eb="6">
      <t>タイメン</t>
    </rPh>
    <phoneticPr fontId="2"/>
  </si>
  <si>
    <t>２Ａ国
対面</t>
    <rPh sb="4" eb="6">
      <t>タイメン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</si>
</sst>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96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6"/>
      <name val="ＭＳ Ｐゴシック"/>
      <family val="3"/>
      <charset val="128"/>
    </font>
    <font>
      <b/>
      <sz val="26"/>
      <name val="HG丸ｺﾞｼｯｸM-PRO"/>
      <family val="3"/>
      <charset val="128"/>
    </font>
    <font>
      <b/>
      <sz val="28"/>
      <name val="ＤＦＰ特太ゴシック体"/>
      <family val="3"/>
      <charset val="128"/>
    </font>
    <font>
      <b/>
      <sz val="28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8"/>
      <name val="HG丸ｺﾞｼｯｸM-PRO"/>
      <family val="3"/>
      <charset val="128"/>
    </font>
    <font>
      <b/>
      <sz val="16"/>
      <color indexed="10"/>
      <name val="ＭＳ Ｐゴシック"/>
      <family val="3"/>
      <charset val="128"/>
    </font>
    <font>
      <b/>
      <sz val="18"/>
      <name val="Wingdings"/>
      <charset val="2"/>
    </font>
    <font>
      <sz val="16"/>
      <name val="Wingdings"/>
      <charset val="2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16"/>
      <color indexed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  <font>
      <b/>
      <sz val="12"/>
      <color indexed="9"/>
      <name val="ＪＳＰゴシック"/>
      <family val="3"/>
      <charset val="128"/>
    </font>
    <font>
      <sz val="14"/>
      <name val="ＪＳＰ明朝"/>
      <family val="1"/>
      <charset val="128"/>
    </font>
    <font>
      <sz val="12"/>
      <name val="ＪＳ明朝"/>
      <family val="1"/>
      <charset val="128"/>
    </font>
    <font>
      <b/>
      <sz val="12"/>
      <name val="ＭＳ Ｐ明朝"/>
      <family val="1"/>
      <charset val="128"/>
    </font>
    <font>
      <sz val="16"/>
      <name val="ＭＳ Ｐゴシック"/>
      <family val="3"/>
      <charset val="128"/>
    </font>
    <font>
      <b/>
      <sz val="8"/>
      <name val="ＭＳ Ｐ明朝"/>
      <family val="1"/>
      <charset val="128"/>
    </font>
    <font>
      <sz val="11"/>
      <color indexed="9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11"/>
      <color indexed="12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b/>
      <sz val="12"/>
      <color theme="0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b/>
      <sz val="11"/>
      <name val="ＭＳ Ｐゴシック"/>
      <family val="3"/>
      <charset val="128"/>
      <scheme val="major"/>
    </font>
    <font>
      <b/>
      <sz val="11"/>
      <color indexed="9"/>
      <name val="ＭＳ Ｐゴシック"/>
      <family val="3"/>
      <charset val="128"/>
      <scheme val="major"/>
    </font>
    <font>
      <b/>
      <sz val="11"/>
      <color indexed="10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ajor"/>
    </font>
    <font>
      <b/>
      <sz val="10"/>
      <name val="ＭＳ Ｐゴシック"/>
      <family val="3"/>
      <charset val="128"/>
      <scheme val="major"/>
    </font>
    <font>
      <sz val="9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10"/>
      <color indexed="10"/>
      <name val="ＭＳ Ｐゴシック"/>
      <family val="3"/>
      <charset val="128"/>
      <scheme val="major"/>
    </font>
    <font>
      <b/>
      <sz val="14"/>
      <color rgb="FFFF0000"/>
      <name val="ＭＳ Ｐゴシック"/>
      <family val="3"/>
      <charset val="128"/>
    </font>
    <font>
      <b/>
      <sz val="12"/>
      <color indexed="9"/>
      <name val="ＭＳ Ｐゴシック"/>
      <family val="3"/>
      <charset val="128"/>
      <scheme val="major"/>
    </font>
    <font>
      <b/>
      <sz val="12"/>
      <color indexed="10"/>
      <name val="ＭＳ Ｐゴシック"/>
      <family val="3"/>
      <charset val="128"/>
      <scheme val="major"/>
    </font>
    <font>
      <b/>
      <sz val="12"/>
      <color theme="0"/>
      <name val="ＭＳ Ｐゴシック"/>
      <family val="3"/>
      <charset val="128"/>
      <scheme val="major"/>
    </font>
    <font>
      <b/>
      <sz val="12"/>
      <name val="ＭＳ Ｐゴシック"/>
      <family val="3"/>
      <charset val="128"/>
      <scheme val="major"/>
    </font>
    <font>
      <b/>
      <sz val="12"/>
      <color rgb="FFFF0000"/>
      <name val="ＭＳ Ｐゴシック"/>
      <family val="3"/>
      <charset val="128"/>
      <scheme val="major"/>
    </font>
    <font>
      <b/>
      <sz val="12"/>
      <color rgb="FFFF0000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26"/>
      <color rgb="FFFF0000"/>
      <name val="HG丸ｺﾞｼｯｸM-PRO"/>
      <family val="3"/>
      <charset val="128"/>
    </font>
    <font>
      <b/>
      <sz val="16"/>
      <color theme="1"/>
      <name val="ＭＳ ゴシック"/>
      <family val="3"/>
      <charset val="128"/>
    </font>
    <font>
      <b/>
      <sz val="18"/>
      <name val="ＭＳ ゴシック"/>
      <family val="3"/>
      <charset val="128"/>
    </font>
    <font>
      <b/>
      <sz val="18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20"/>
      <name val="ＭＳ ゴシック"/>
      <family val="3"/>
      <charset val="128"/>
    </font>
    <font>
      <b/>
      <sz val="20"/>
      <color indexed="9"/>
      <name val="ＭＳ ゴシック"/>
      <family val="3"/>
      <charset val="128"/>
    </font>
    <font>
      <b/>
      <sz val="20"/>
      <color theme="0"/>
      <name val="ＭＳ 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26"/>
      <color theme="1"/>
      <name val="HG丸ｺﾞｼｯｸM-PRO"/>
      <family val="3"/>
      <charset val="128"/>
    </font>
    <font>
      <b/>
      <sz val="26"/>
      <color theme="1"/>
      <name val="ＭＳ Ｐゴシック"/>
      <family val="3"/>
      <charset val="128"/>
    </font>
    <font>
      <b/>
      <sz val="18"/>
      <color theme="1"/>
      <name val="ＭＳ ゴシック"/>
      <family val="3"/>
      <charset val="128"/>
    </font>
    <font>
      <b/>
      <sz val="18"/>
      <color rgb="FF0000FF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  <scheme val="major"/>
    </font>
    <font>
      <b/>
      <sz val="14"/>
      <color theme="0"/>
      <name val="ＭＳ Ｐゴシック"/>
      <family val="3"/>
      <charset val="128"/>
    </font>
    <font>
      <b/>
      <sz val="14"/>
      <color rgb="FFFFFF00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b/>
      <sz val="16"/>
      <color rgb="FFFF0000"/>
      <name val="AR P丸ゴシック体E"/>
      <family val="3"/>
      <charset val="128"/>
    </font>
    <font>
      <b/>
      <sz val="18"/>
      <color rgb="FF0000FF"/>
      <name val="AR P丸ゴシック体E"/>
      <family val="3"/>
      <charset val="128"/>
    </font>
    <font>
      <b/>
      <sz val="18"/>
      <color rgb="FF0000FF"/>
      <name val="ＭＳ Ｐゴシック"/>
      <family val="3"/>
      <charset val="128"/>
      <scheme val="major"/>
    </font>
    <font>
      <sz val="18"/>
      <color rgb="FF0000FF"/>
      <name val="AR P丸ゴシック体E"/>
      <family val="3"/>
      <charset val="128"/>
    </font>
    <font>
      <b/>
      <sz val="16"/>
      <color theme="0"/>
      <name val="ＭＳ Ｐゴシック"/>
      <family val="3"/>
      <charset val="128"/>
      <scheme val="major"/>
    </font>
    <font>
      <b/>
      <sz val="16"/>
      <name val="ＭＳ Ｐゴシック"/>
      <family val="3"/>
      <charset val="128"/>
      <scheme val="major"/>
    </font>
    <font>
      <b/>
      <sz val="14"/>
      <color rgb="FFFF0000"/>
      <name val="HG平成丸ｺﾞｼｯｸ体W8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14"/>
      <color indexed="10"/>
      <name val="ＭＳ Ｐゴシック"/>
      <family val="3"/>
      <charset val="128"/>
      <scheme val="major"/>
    </font>
    <font>
      <b/>
      <sz val="14"/>
      <color theme="1"/>
      <name val="ＭＳ Ｐゴシック"/>
      <family val="3"/>
      <charset val="128"/>
      <scheme val="major"/>
    </font>
    <font>
      <b/>
      <sz val="14"/>
      <color rgb="FFFF0000"/>
      <name val="ＭＳ Ｐゴシック"/>
      <family val="3"/>
      <charset val="128"/>
      <scheme val="major"/>
    </font>
    <font>
      <b/>
      <sz val="16"/>
      <color rgb="FFFF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22"/>
      <color rgb="FFFF0066"/>
      <name val="AR P丸ゴシック体E"/>
      <family val="3"/>
      <charset val="128"/>
    </font>
    <font>
      <sz val="22"/>
      <color rgb="FFFF0066"/>
      <name val="AR P明朝体L"/>
      <family val="3"/>
      <charset val="128"/>
    </font>
    <font>
      <b/>
      <sz val="18"/>
      <color rgb="FFFF0000"/>
      <name val="AR P丸ゴシック体E"/>
      <family val="2"/>
      <charset val="128"/>
    </font>
    <font>
      <b/>
      <sz val="18"/>
      <color rgb="FFFF99FF"/>
      <name val="Segoe UI Symbol"/>
      <family val="2"/>
    </font>
    <font>
      <b/>
      <sz val="18"/>
      <color rgb="FFFF0000"/>
      <name val="AR P丸ゴシック体E"/>
      <family val="3"/>
      <charset val="128"/>
    </font>
    <font>
      <b/>
      <sz val="11"/>
      <color rgb="FFFF0000"/>
      <name val="ＭＳ Ｐゴシック"/>
      <family val="3"/>
      <charset val="128"/>
      <scheme val="major"/>
    </font>
    <font>
      <b/>
      <sz val="11"/>
      <color rgb="FF0000FF"/>
      <name val="ＭＳ Ｐゴシック"/>
      <family val="3"/>
      <charset val="128"/>
      <scheme val="major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0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10"/>
      </patternFill>
    </fill>
    <fill>
      <patternFill patternType="solid">
        <fgColor indexed="10"/>
        <bgColor indexed="10"/>
      </patternFill>
    </fill>
    <fill>
      <patternFill patternType="solid">
        <fgColor indexed="22"/>
        <bgColor indexed="10"/>
      </patternFill>
    </fill>
    <fill>
      <patternFill patternType="solid">
        <fgColor rgb="FF996633"/>
        <bgColor indexed="10"/>
      </patternFill>
    </fill>
    <fill>
      <patternFill patternType="solid">
        <fgColor indexed="50"/>
        <bgColor indexed="10"/>
      </patternFill>
    </fill>
    <fill>
      <patternFill patternType="solid">
        <fgColor indexed="41"/>
        <bgColor indexed="10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-0.499984740745262"/>
        <bgColor indexed="10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66"/>
        <bgColor indexed="10"/>
      </patternFill>
    </fill>
    <fill>
      <patternFill patternType="solid">
        <fgColor rgb="FFFFFF66"/>
        <bgColor indexed="64"/>
      </patternFill>
    </fill>
    <fill>
      <patternFill patternType="solid">
        <fgColor rgb="FFCCECFF"/>
        <bgColor indexed="10"/>
      </patternFill>
    </fill>
    <fill>
      <patternFill patternType="solid">
        <fgColor rgb="FFFF99CC"/>
        <bgColor indexed="64"/>
      </patternFill>
    </fill>
    <fill>
      <patternFill patternType="solid">
        <fgColor rgb="FFFF99CC"/>
        <bgColor indexed="10"/>
      </patternFill>
    </fill>
    <fill>
      <patternFill patternType="solid">
        <fgColor rgb="FF99CC00"/>
        <bgColor indexed="64"/>
      </patternFill>
    </fill>
    <fill>
      <patternFill patternType="solid">
        <fgColor rgb="FF99CC00"/>
        <bgColor indexed="10"/>
      </patternFill>
    </fill>
    <fill>
      <patternFill patternType="solid">
        <fgColor rgb="FFFFCC99"/>
        <bgColor indexed="10"/>
      </patternFill>
    </fill>
    <fill>
      <patternFill patternType="solid">
        <fgColor rgb="FFFF0000"/>
        <bgColor indexed="10"/>
      </patternFill>
    </fill>
    <fill>
      <patternFill patternType="solid">
        <fgColor rgb="FFFFCCCC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rgb="FF92D050"/>
      </left>
      <right/>
      <top style="medium">
        <color rgb="FF66FF33"/>
      </top>
      <bottom style="medium">
        <color rgb="FF66FF33"/>
      </bottom>
      <diagonal/>
    </border>
    <border>
      <left/>
      <right/>
      <top style="medium">
        <color rgb="FF66FF33"/>
      </top>
      <bottom style="medium">
        <color rgb="FF66FF33"/>
      </bottom>
      <diagonal/>
    </border>
    <border>
      <left/>
      <right style="medium">
        <color rgb="FF66FF33"/>
      </right>
      <top style="medium">
        <color rgb="FF66FF33"/>
      </top>
      <bottom style="medium">
        <color rgb="FF66FF33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ck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ck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ck">
        <color indexed="64"/>
      </right>
      <top style="dotted">
        <color indexed="64"/>
      </top>
      <bottom style="thin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ck">
        <color indexed="64"/>
      </right>
      <top style="dotted">
        <color indexed="64"/>
      </top>
      <bottom/>
      <diagonal/>
    </border>
    <border>
      <left style="thin">
        <color indexed="64"/>
      </left>
      <right style="thick">
        <color indexed="64"/>
      </right>
      <top style="dotted">
        <color indexed="64"/>
      </top>
      <bottom style="thin">
        <color indexed="64"/>
      </bottom>
      <diagonal/>
    </border>
    <border>
      <left/>
      <right style="thick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4">
    <xf numFmtId="0" fontId="0" fillId="0" borderId="0">
      <alignment vertical="center"/>
    </xf>
    <xf numFmtId="0" fontId="1" fillId="0" borderId="0"/>
    <xf numFmtId="0" fontId="37" fillId="4" borderId="15" applyNumberFormat="0" applyBorder="0" applyAlignment="0" applyProtection="0">
      <alignment horizontal="center" vertical="center"/>
    </xf>
    <xf numFmtId="0" fontId="37" fillId="4" borderId="15" applyNumberFormat="0" applyBorder="0" applyProtection="0">
      <alignment horizontal="center" vertical="center"/>
    </xf>
    <xf numFmtId="0" fontId="38" fillId="5" borderId="15" applyNumberFormat="0" applyBorder="0" applyProtection="0">
      <alignment horizontal="center" vertical="center"/>
    </xf>
    <xf numFmtId="0" fontId="37" fillId="14" borderId="15" applyNumberFormat="0" applyBorder="0" applyProtection="0">
      <alignment horizontal="center" vertical="center"/>
    </xf>
    <xf numFmtId="0" fontId="38" fillId="6" borderId="15" applyNumberFormat="0" applyBorder="0" applyProtection="0">
      <alignment horizontal="center" vertical="center"/>
    </xf>
    <xf numFmtId="0" fontId="39" fillId="7" borderId="15" applyNumberFormat="0" applyBorder="0" applyProtection="0">
      <alignment horizontal="center" vertical="center"/>
    </xf>
    <xf numFmtId="0" fontId="40" fillId="8" borderId="15" applyNumberFormat="0" applyBorder="0" applyProtection="0">
      <alignment horizontal="center" vertical="center"/>
    </xf>
    <xf numFmtId="0" fontId="37" fillId="9" borderId="15" applyNumberFormat="0" applyBorder="0" applyProtection="0">
      <alignment horizontal="center" vertical="center"/>
    </xf>
    <xf numFmtId="0" fontId="37" fillId="10" borderId="15" applyNumberFormat="0" applyBorder="0" applyProtection="0">
      <alignment horizontal="center" vertical="center"/>
    </xf>
    <xf numFmtId="0" fontId="37" fillId="11" borderId="15" applyNumberFormat="0" applyBorder="0" applyProtection="0">
      <alignment horizontal="center" vertical="center"/>
    </xf>
    <xf numFmtId="0" fontId="40" fillId="16" borderId="15" applyNumberFormat="0" applyBorder="0" applyProtection="0">
      <alignment horizontal="center" vertical="center"/>
    </xf>
    <xf numFmtId="0" fontId="40" fillId="17" borderId="15" applyNumberFormat="0" applyBorder="0" applyProtection="0">
      <alignment horizontal="center" vertical="center"/>
    </xf>
  </cellStyleXfs>
  <cellXfs count="419">
    <xf numFmtId="0" fontId="0" fillId="0" borderId="0" xfId="0">
      <alignment vertical="center"/>
    </xf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" fillId="0" borderId="0" xfId="1"/>
    <xf numFmtId="0" fontId="1" fillId="0" borderId="4" xfId="1" applyBorder="1"/>
    <xf numFmtId="0" fontId="1" fillId="0" borderId="5" xfId="1" applyBorder="1"/>
    <xf numFmtId="0" fontId="8" fillId="0" borderId="0" xfId="1" applyFont="1" applyAlignment="1">
      <alignment horizontal="left"/>
    </xf>
    <xf numFmtId="0" fontId="10" fillId="0" borderId="0" xfId="1" applyFont="1" applyAlignment="1">
      <alignment vertical="center"/>
    </xf>
    <xf numFmtId="0" fontId="11" fillId="0" borderId="4" xfId="1" applyFont="1" applyBorder="1" applyAlignment="1">
      <alignment vertical="center"/>
    </xf>
    <xf numFmtId="0" fontId="1" fillId="0" borderId="0" xfId="1" applyAlignment="1">
      <alignment vertical="center"/>
    </xf>
    <xf numFmtId="0" fontId="12" fillId="0" borderId="0" xfId="1" applyFont="1"/>
    <xf numFmtId="0" fontId="12" fillId="0" borderId="0" xfId="1" applyFont="1" applyAlignment="1">
      <alignment vertical="center"/>
    </xf>
    <xf numFmtId="0" fontId="1" fillId="0" borderId="5" xfId="1" applyBorder="1" applyAlignment="1">
      <alignment vertical="center"/>
    </xf>
    <xf numFmtId="0" fontId="13" fillId="0" borderId="0" xfId="1" applyFont="1"/>
    <xf numFmtId="0" fontId="18" fillId="0" borderId="18" xfId="1" applyFont="1" applyBorder="1" applyAlignment="1">
      <alignment horizontal="center" vertical="center"/>
    </xf>
    <xf numFmtId="0" fontId="18" fillId="0" borderId="22" xfId="1" applyFont="1" applyBorder="1" applyAlignment="1">
      <alignment horizontal="center" vertical="center"/>
    </xf>
    <xf numFmtId="0" fontId="20" fillId="0" borderId="22" xfId="1" applyFont="1" applyBorder="1" applyAlignment="1">
      <alignment horizontal="center" vertical="center"/>
    </xf>
    <xf numFmtId="0" fontId="18" fillId="0" borderId="26" xfId="1" applyFont="1" applyBorder="1" applyAlignment="1">
      <alignment horizontal="center" vertical="center"/>
    </xf>
    <xf numFmtId="0" fontId="21" fillId="0" borderId="22" xfId="1" applyFont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0" fontId="22" fillId="0" borderId="22" xfId="1" applyFont="1" applyBorder="1" applyAlignment="1">
      <alignment horizontal="center" vertical="center"/>
    </xf>
    <xf numFmtId="0" fontId="3" fillId="0" borderId="26" xfId="1" applyFont="1" applyBorder="1" applyAlignment="1">
      <alignment horizontal="center" vertical="center"/>
    </xf>
    <xf numFmtId="0" fontId="23" fillId="0" borderId="2" xfId="1" applyFont="1" applyBorder="1" applyAlignment="1">
      <alignment horizontal="center"/>
    </xf>
    <xf numFmtId="0" fontId="23" fillId="0" borderId="0" xfId="1" applyFont="1" applyAlignment="1">
      <alignment horizontal="center"/>
    </xf>
    <xf numFmtId="0" fontId="24" fillId="0" borderId="9" xfId="1" applyFont="1" applyBorder="1" applyAlignment="1">
      <alignment horizontal="left" vertical="center"/>
    </xf>
    <xf numFmtId="0" fontId="24" fillId="0" borderId="6" xfId="1" applyFont="1" applyBorder="1" applyAlignment="1">
      <alignment horizontal="left" vertical="center"/>
    </xf>
    <xf numFmtId="0" fontId="25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6" fillId="9" borderId="15" xfId="1" applyFont="1" applyFill="1" applyBorder="1" applyAlignment="1">
      <alignment horizontal="center" vertical="center"/>
    </xf>
    <xf numFmtId="0" fontId="26" fillId="10" borderId="15" xfId="1" applyFont="1" applyFill="1" applyBorder="1" applyAlignment="1">
      <alignment horizontal="center" vertical="center"/>
    </xf>
    <xf numFmtId="0" fontId="27" fillId="0" borderId="15" xfId="1" applyFont="1" applyBorder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9" fillId="0" borderId="0" xfId="1" applyFont="1"/>
    <xf numFmtId="0" fontId="14" fillId="0" borderId="0" xfId="1" applyFont="1" applyAlignment="1">
      <alignment horizontal="center"/>
    </xf>
    <xf numFmtId="0" fontId="30" fillId="0" borderId="0" xfId="1" applyFont="1" applyAlignment="1">
      <alignment horizontal="center" vertical="center"/>
    </xf>
    <xf numFmtId="0" fontId="14" fillId="12" borderId="28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0" fontId="20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25" fillId="0" borderId="0" xfId="1" applyFont="1"/>
    <xf numFmtId="14" fontId="1" fillId="0" borderId="0" xfId="1" applyNumberFormat="1"/>
    <xf numFmtId="0" fontId="17" fillId="0" borderId="0" xfId="1" applyFont="1"/>
    <xf numFmtId="0" fontId="1" fillId="0" borderId="24" xfId="1" applyBorder="1" applyAlignment="1">
      <alignment horizontal="center" vertical="center"/>
    </xf>
    <xf numFmtId="0" fontId="1" fillId="0" borderId="6" xfId="1" applyBorder="1"/>
    <xf numFmtId="0" fontId="1" fillId="0" borderId="10" xfId="1" applyBorder="1"/>
    <xf numFmtId="0" fontId="1" fillId="0" borderId="0" xfId="1" applyAlignment="1">
      <alignment horizontal="right"/>
    </xf>
    <xf numFmtId="0" fontId="17" fillId="18" borderId="6" xfId="1" applyFont="1" applyFill="1" applyBorder="1" applyAlignment="1">
      <alignment horizontal="center"/>
    </xf>
    <xf numFmtId="0" fontId="1" fillId="0" borderId="6" xfId="1" applyBorder="1" applyAlignment="1">
      <alignment horizontal="right"/>
    </xf>
    <xf numFmtId="0" fontId="1" fillId="0" borderId="9" xfId="1" applyBorder="1" applyAlignment="1">
      <alignment horizontal="right"/>
    </xf>
    <xf numFmtId="0" fontId="1" fillId="19" borderId="0" xfId="1" applyFill="1"/>
    <xf numFmtId="0" fontId="38" fillId="6" borderId="30" xfId="6" applyBorder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42" fillId="0" borderId="6" xfId="1" applyFont="1" applyBorder="1"/>
    <xf numFmtId="0" fontId="44" fillId="7" borderId="29" xfId="7" applyFont="1" applyBorder="1" applyAlignment="1">
      <alignment horizontal="center" vertical="center" wrapText="1"/>
    </xf>
    <xf numFmtId="0" fontId="38" fillId="5" borderId="30" xfId="4" applyBorder="1">
      <alignment horizontal="center" vertical="center"/>
    </xf>
    <xf numFmtId="0" fontId="41" fillId="10" borderId="30" xfId="10" applyFont="1" applyBorder="1" applyAlignment="1">
      <alignment horizontal="center" vertical="center" wrapText="1"/>
    </xf>
    <xf numFmtId="0" fontId="14" fillId="0" borderId="28" xfId="1" applyFont="1" applyBorder="1" applyAlignment="1">
      <alignment horizontal="center" vertical="center"/>
    </xf>
    <xf numFmtId="0" fontId="45" fillId="0" borderId="23" xfId="1" applyFont="1" applyBorder="1" applyAlignment="1">
      <alignment horizontal="left" vertical="center"/>
    </xf>
    <xf numFmtId="0" fontId="1" fillId="0" borderId="23" xfId="1" applyBorder="1" applyAlignment="1">
      <alignment horizontal="left" vertical="center"/>
    </xf>
    <xf numFmtId="0" fontId="15" fillId="0" borderId="23" xfId="1" applyFont="1" applyBorder="1" applyAlignment="1">
      <alignment horizontal="left" vertical="center"/>
    </xf>
    <xf numFmtId="176" fontId="47" fillId="7" borderId="29" xfId="7" applyNumberFormat="1" applyFont="1" applyBorder="1">
      <alignment horizontal="center" vertical="center"/>
    </xf>
    <xf numFmtId="0" fontId="48" fillId="20" borderId="29" xfId="8" applyFont="1" applyFill="1" applyBorder="1">
      <alignment horizontal="center" vertical="center"/>
    </xf>
    <xf numFmtId="0" fontId="49" fillId="14" borderId="29" xfId="5" applyFont="1" applyBorder="1">
      <alignment horizontal="center" vertical="center"/>
    </xf>
    <xf numFmtId="0" fontId="49" fillId="11" borderId="29" xfId="11" applyFont="1" applyBorder="1">
      <alignment horizontal="center" vertical="center"/>
    </xf>
    <xf numFmtId="0" fontId="49" fillId="4" borderId="29" xfId="3" applyFont="1" applyBorder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1" fillId="0" borderId="29" xfId="1" applyBorder="1"/>
    <xf numFmtId="0" fontId="51" fillId="21" borderId="15" xfId="1" applyFont="1" applyFill="1" applyBorder="1" applyAlignment="1">
      <alignment horizontal="center" vertical="center"/>
    </xf>
    <xf numFmtId="0" fontId="52" fillId="0" borderId="0" xfId="1" applyFont="1" applyAlignment="1">
      <alignment vertical="center"/>
    </xf>
    <xf numFmtId="0" fontId="46" fillId="5" borderId="29" xfId="4" applyFont="1" applyBorder="1">
      <alignment horizontal="center" vertical="center"/>
    </xf>
    <xf numFmtId="0" fontId="47" fillId="7" borderId="33" xfId="7" applyFont="1" applyBorder="1">
      <alignment horizontal="center" vertical="center"/>
    </xf>
    <xf numFmtId="0" fontId="1" fillId="0" borderId="24" xfId="1" applyBorder="1"/>
    <xf numFmtId="176" fontId="35" fillId="0" borderId="24" xfId="1" applyNumberFormat="1" applyFont="1" applyBorder="1" applyAlignment="1">
      <alignment horizontal="center" vertical="center"/>
    </xf>
    <xf numFmtId="0" fontId="1" fillId="0" borderId="25" xfId="1" applyBorder="1"/>
    <xf numFmtId="0" fontId="46" fillId="0" borderId="24" xfId="4" applyFont="1" applyFill="1" applyBorder="1">
      <alignment horizontal="center" vertical="center"/>
    </xf>
    <xf numFmtId="0" fontId="48" fillId="0" borderId="24" xfId="8" applyFont="1" applyFill="1" applyBorder="1">
      <alignment horizontal="center" vertical="center"/>
    </xf>
    <xf numFmtId="176" fontId="49" fillId="0" borderId="27" xfId="9" applyNumberFormat="1" applyFont="1" applyFill="1" applyBorder="1">
      <alignment horizontal="center" vertical="center"/>
    </xf>
    <xf numFmtId="0" fontId="3" fillId="14" borderId="15" xfId="1" applyFont="1" applyFill="1" applyBorder="1" applyAlignment="1">
      <alignment horizontal="center" vertical="center"/>
    </xf>
    <xf numFmtId="0" fontId="5" fillId="0" borderId="0" xfId="1" applyFont="1"/>
    <xf numFmtId="0" fontId="7" fillId="0" borderId="0" xfId="1" applyFont="1"/>
    <xf numFmtId="0" fontId="20" fillId="0" borderId="15" xfId="1" applyFont="1" applyBorder="1" applyAlignment="1">
      <alignment horizontal="center" vertical="center"/>
    </xf>
    <xf numFmtId="0" fontId="20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34" xfId="1" applyFont="1" applyBorder="1" applyAlignment="1">
      <alignment horizontal="center" vertical="center"/>
    </xf>
    <xf numFmtId="0" fontId="61" fillId="0" borderId="0" xfId="1" applyFont="1" applyAlignment="1">
      <alignment horizontal="center" vertical="center"/>
    </xf>
    <xf numFmtId="0" fontId="20" fillId="0" borderId="35" xfId="1" applyFont="1" applyBorder="1" applyAlignment="1">
      <alignment horizontal="center" vertical="center"/>
    </xf>
    <xf numFmtId="0" fontId="49" fillId="14" borderId="36" xfId="5" applyFont="1" applyBorder="1">
      <alignment horizontal="center" vertical="center"/>
    </xf>
    <xf numFmtId="0" fontId="47" fillId="7" borderId="36" xfId="7" applyFont="1" applyBorder="1">
      <alignment horizontal="center" vertical="center"/>
    </xf>
    <xf numFmtId="0" fontId="1" fillId="0" borderId="37" xfId="1" applyBorder="1"/>
    <xf numFmtId="0" fontId="1" fillId="0" borderId="4" xfId="1" applyBorder="1" applyAlignment="1">
      <alignment horizontal="center" vertical="center"/>
    </xf>
    <xf numFmtId="176" fontId="49" fillId="10" borderId="36" xfId="10" applyNumberFormat="1" applyFont="1" applyBorder="1">
      <alignment horizontal="center" vertical="center"/>
    </xf>
    <xf numFmtId="0" fontId="46" fillId="0" borderId="0" xfId="4" applyFont="1" applyFill="1" applyBorder="1">
      <alignment horizontal="center" vertical="center"/>
    </xf>
    <xf numFmtId="0" fontId="48" fillId="0" borderId="0" xfId="8" applyFont="1" applyFill="1" applyBorder="1">
      <alignment horizontal="center" vertical="center"/>
    </xf>
    <xf numFmtId="0" fontId="37" fillId="14" borderId="33" xfId="5" applyBorder="1">
      <alignment horizontal="center" vertical="center"/>
    </xf>
    <xf numFmtId="0" fontId="50" fillId="21" borderId="36" xfId="11" applyFont="1" applyFill="1" applyBorder="1">
      <alignment horizontal="center" vertical="center"/>
    </xf>
    <xf numFmtId="176" fontId="49" fillId="9" borderId="36" xfId="9" applyNumberFormat="1" applyFont="1" applyBorder="1">
      <alignment horizontal="center" vertical="center"/>
    </xf>
    <xf numFmtId="0" fontId="48" fillId="16" borderId="29" xfId="12" applyFont="1" applyBorder="1">
      <alignment horizontal="center" vertical="center"/>
    </xf>
    <xf numFmtId="0" fontId="49" fillId="10" borderId="36" xfId="10" applyFont="1" applyBorder="1">
      <alignment horizontal="center" vertical="center"/>
    </xf>
    <xf numFmtId="0" fontId="49" fillId="0" borderId="0" xfId="3" applyFont="1" applyFill="1" applyBorder="1">
      <alignment horizontal="center" vertical="center"/>
    </xf>
    <xf numFmtId="0" fontId="65" fillId="0" borderId="0" xfId="1" applyFont="1" applyAlignment="1">
      <alignment horizontal="right" vertical="center"/>
    </xf>
    <xf numFmtId="0" fontId="1" fillId="0" borderId="36" xfId="1" applyBorder="1" applyAlignment="1">
      <alignment vertical="center"/>
    </xf>
    <xf numFmtId="0" fontId="65" fillId="0" borderId="0" xfId="1" applyFont="1" applyAlignment="1">
      <alignment vertical="center"/>
    </xf>
    <xf numFmtId="0" fontId="1" fillId="0" borderId="0" xfId="1" applyAlignment="1">
      <alignment horizontal="left" vertical="center"/>
    </xf>
    <xf numFmtId="0" fontId="27" fillId="0" borderId="32" xfId="1" applyFont="1" applyBorder="1" applyAlignment="1">
      <alignment horizontal="center" vertical="center"/>
    </xf>
    <xf numFmtId="0" fontId="47" fillId="7" borderId="15" xfId="7" applyFont="1" applyBorder="1">
      <alignment horizontal="center" vertical="center"/>
    </xf>
    <xf numFmtId="0" fontId="65" fillId="0" borderId="4" xfId="1" applyFont="1" applyBorder="1" applyAlignment="1">
      <alignment vertical="center"/>
    </xf>
    <xf numFmtId="0" fontId="46" fillId="5" borderId="15" xfId="4" applyFont="1" applyBorder="1">
      <alignment horizontal="center" vertical="center"/>
    </xf>
    <xf numFmtId="0" fontId="14" fillId="14" borderId="0" xfId="1" applyFont="1" applyFill="1" applyAlignment="1">
      <alignment horizontal="center" vertical="center"/>
    </xf>
    <xf numFmtId="0" fontId="66" fillId="24" borderId="36" xfId="11" applyFont="1" applyFill="1" applyBorder="1">
      <alignment horizontal="center" vertical="center"/>
    </xf>
    <xf numFmtId="0" fontId="66" fillId="24" borderId="29" xfId="11" applyFont="1" applyFill="1" applyBorder="1">
      <alignment horizontal="center" vertical="center"/>
    </xf>
    <xf numFmtId="0" fontId="66" fillId="24" borderId="15" xfId="11" applyFont="1" applyFill="1" applyBorder="1">
      <alignment horizontal="center" vertical="center"/>
    </xf>
    <xf numFmtId="0" fontId="74" fillId="3" borderId="15" xfId="1" applyFont="1" applyFill="1" applyBorder="1" applyAlignment="1">
      <alignment horizontal="center" vertical="center"/>
    </xf>
    <xf numFmtId="0" fontId="75" fillId="15" borderId="15" xfId="1" applyFont="1" applyFill="1" applyBorder="1" applyAlignment="1">
      <alignment horizontal="center" vertical="center"/>
    </xf>
    <xf numFmtId="0" fontId="75" fillId="13" borderId="15" xfId="1" applyFont="1" applyFill="1" applyBorder="1" applyAlignment="1">
      <alignment horizontal="center" vertical="center"/>
    </xf>
    <xf numFmtId="0" fontId="75" fillId="14" borderId="15" xfId="1" applyFont="1" applyFill="1" applyBorder="1" applyAlignment="1">
      <alignment horizontal="center" vertical="center"/>
    </xf>
    <xf numFmtId="0" fontId="75" fillId="4" borderId="15" xfId="1" applyFont="1" applyFill="1" applyBorder="1" applyAlignment="1">
      <alignment horizontal="center" vertical="center"/>
    </xf>
    <xf numFmtId="176" fontId="49" fillId="9" borderId="29" xfId="9" applyNumberFormat="1" applyFont="1" applyBorder="1">
      <alignment horizontal="center" vertical="center"/>
    </xf>
    <xf numFmtId="0" fontId="48" fillId="25" borderId="36" xfId="8" applyFont="1" applyFill="1" applyBorder="1">
      <alignment horizontal="center" vertical="center"/>
    </xf>
    <xf numFmtId="0" fontId="50" fillId="21" borderId="29" xfId="11" applyFont="1" applyFill="1" applyBorder="1">
      <alignment horizontal="center" vertical="center"/>
    </xf>
    <xf numFmtId="0" fontId="49" fillId="14" borderId="15" xfId="1" applyFont="1" applyFill="1" applyBorder="1" applyAlignment="1">
      <alignment horizontal="center" vertical="center"/>
    </xf>
    <xf numFmtId="0" fontId="50" fillId="21" borderId="13" xfId="1" applyFont="1" applyFill="1" applyBorder="1" applyAlignment="1">
      <alignment horizontal="center" vertical="center"/>
    </xf>
    <xf numFmtId="0" fontId="49" fillId="9" borderId="14" xfId="1" applyFont="1" applyFill="1" applyBorder="1" applyAlignment="1">
      <alignment horizontal="center" vertical="center"/>
    </xf>
    <xf numFmtId="0" fontId="49" fillId="10" borderId="15" xfId="1" applyFont="1" applyFill="1" applyBorder="1" applyAlignment="1">
      <alignment horizontal="center" vertical="center"/>
    </xf>
    <xf numFmtId="0" fontId="46" fillId="5" borderId="36" xfId="4" applyFont="1" applyBorder="1">
      <alignment horizontal="center" vertical="center"/>
    </xf>
    <xf numFmtId="0" fontId="48" fillId="22" borderId="36" xfId="11" applyFont="1" applyFill="1" applyBorder="1">
      <alignment horizontal="center" vertical="center"/>
    </xf>
    <xf numFmtId="0" fontId="48" fillId="22" borderId="15" xfId="11" applyFont="1" applyFill="1" applyBorder="1">
      <alignment horizontal="center" vertical="center"/>
    </xf>
    <xf numFmtId="0" fontId="1" fillId="0" borderId="38" xfId="1" applyBorder="1"/>
    <xf numFmtId="0" fontId="66" fillId="24" borderId="39" xfId="11" applyFont="1" applyFill="1" applyBorder="1">
      <alignment horizontal="center" vertical="center"/>
    </xf>
    <xf numFmtId="0" fontId="47" fillId="7" borderId="29" xfId="7" applyFont="1" applyBorder="1">
      <alignment horizontal="center" vertical="center"/>
    </xf>
    <xf numFmtId="0" fontId="19" fillId="2" borderId="19" xfId="1" applyFont="1" applyFill="1" applyBorder="1" applyAlignment="1">
      <alignment horizontal="center" vertical="center"/>
    </xf>
    <xf numFmtId="0" fontId="19" fillId="2" borderId="22" xfId="1" applyFont="1" applyFill="1" applyBorder="1" applyAlignment="1">
      <alignment horizontal="center" vertical="center"/>
    </xf>
    <xf numFmtId="0" fontId="45" fillId="0" borderId="4" xfId="1" applyFont="1" applyBorder="1" applyAlignment="1">
      <alignment horizontal="left" vertical="center"/>
    </xf>
    <xf numFmtId="0" fontId="77" fillId="0" borderId="4" xfId="1" applyFont="1" applyBorder="1" applyAlignment="1">
      <alignment horizontal="left" vertical="center"/>
    </xf>
    <xf numFmtId="0" fontId="78" fillId="0" borderId="4" xfId="1" applyFont="1" applyBorder="1" applyAlignment="1">
      <alignment horizontal="left" vertical="center"/>
    </xf>
    <xf numFmtId="0" fontId="79" fillId="0" borderId="4" xfId="1" applyFont="1" applyBorder="1" applyAlignment="1">
      <alignment horizontal="left" vertical="center"/>
    </xf>
    <xf numFmtId="0" fontId="81" fillId="0" borderId="23" xfId="1" applyFont="1" applyBorder="1" applyAlignment="1">
      <alignment horizontal="left" vertical="center"/>
    </xf>
    <xf numFmtId="0" fontId="82" fillId="0" borderId="23" xfId="1" applyFont="1" applyBorder="1" applyAlignment="1">
      <alignment horizontal="left" vertical="center"/>
    </xf>
    <xf numFmtId="0" fontId="48" fillId="25" borderId="15" xfId="8" applyFont="1" applyFill="1" applyBorder="1">
      <alignment horizontal="center" vertical="center"/>
    </xf>
    <xf numFmtId="0" fontId="69" fillId="17" borderId="22" xfId="1" applyFont="1" applyFill="1" applyBorder="1" applyAlignment="1">
      <alignment horizontal="center" vertical="center"/>
    </xf>
    <xf numFmtId="0" fontId="42" fillId="0" borderId="23" xfId="1" applyFont="1" applyBorder="1" applyAlignment="1">
      <alignment horizontal="left" vertical="center"/>
    </xf>
    <xf numFmtId="0" fontId="47" fillId="7" borderId="43" xfId="7" applyFont="1" applyBorder="1">
      <alignment horizontal="center" vertical="center"/>
    </xf>
    <xf numFmtId="0" fontId="1" fillId="0" borderId="37" xfId="1" applyBorder="1" applyAlignment="1">
      <alignment horizontal="center" vertical="center"/>
    </xf>
    <xf numFmtId="0" fontId="46" fillId="0" borderId="44" xfId="4" applyFont="1" applyFill="1" applyBorder="1">
      <alignment horizontal="center" vertical="center"/>
    </xf>
    <xf numFmtId="0" fontId="1" fillId="0" borderId="44" xfId="1" applyBorder="1"/>
    <xf numFmtId="176" fontId="35" fillId="0" borderId="44" xfId="1" applyNumberFormat="1" applyFont="1" applyBorder="1" applyAlignment="1">
      <alignment horizontal="center" vertical="center"/>
    </xf>
    <xf numFmtId="0" fontId="89" fillId="24" borderId="45" xfId="11" applyFont="1" applyFill="1" applyBorder="1" applyAlignment="1">
      <alignment horizontal="center" vertical="center" wrapText="1"/>
    </xf>
    <xf numFmtId="0" fontId="88" fillId="21" borderId="29" xfId="11" applyFont="1" applyFill="1" applyBorder="1" applyAlignment="1">
      <alignment horizontal="center" vertical="center" wrapText="1"/>
    </xf>
    <xf numFmtId="0" fontId="89" fillId="24" borderId="36" xfId="11" applyFont="1" applyFill="1" applyBorder="1" applyAlignment="1">
      <alignment horizontal="center" vertical="center" wrapText="1"/>
    </xf>
    <xf numFmtId="176" fontId="37" fillId="9" borderId="36" xfId="9" applyNumberFormat="1" applyBorder="1" applyAlignment="1">
      <alignment horizontal="center" vertical="center" wrapText="1"/>
    </xf>
    <xf numFmtId="0" fontId="37" fillId="14" borderId="36" xfId="5" applyBorder="1" applyAlignment="1">
      <alignment horizontal="center" vertical="center" wrapText="1"/>
    </xf>
    <xf numFmtId="0" fontId="88" fillId="21" borderId="36" xfId="11" applyFont="1" applyFill="1" applyBorder="1" applyAlignment="1">
      <alignment horizontal="center" vertical="center" wrapText="1"/>
    </xf>
    <xf numFmtId="0" fontId="89" fillId="24" borderId="29" xfId="11" applyFont="1" applyFill="1" applyBorder="1" applyAlignment="1">
      <alignment horizontal="center" vertical="center" wrapText="1"/>
    </xf>
    <xf numFmtId="0" fontId="42" fillId="0" borderId="46" xfId="1" applyFont="1" applyBorder="1" applyAlignment="1">
      <alignment horizontal="left" vertical="center"/>
    </xf>
    <xf numFmtId="0" fontId="22" fillId="0" borderId="26" xfId="1" applyFont="1" applyBorder="1" applyAlignment="1">
      <alignment horizontal="center" vertical="center"/>
    </xf>
    <xf numFmtId="0" fontId="19" fillId="2" borderId="18" xfId="1" applyFont="1" applyFill="1" applyBorder="1" applyAlignment="1">
      <alignment horizontal="center" vertical="center"/>
    </xf>
    <xf numFmtId="0" fontId="1" fillId="0" borderId="28" xfId="1" applyBorder="1" applyAlignment="1">
      <alignment horizontal="center" vertical="center"/>
    </xf>
    <xf numFmtId="0" fontId="47" fillId="7" borderId="28" xfId="7" applyFont="1" applyBorder="1">
      <alignment horizontal="center" vertical="center"/>
    </xf>
    <xf numFmtId="0" fontId="1" fillId="0" borderId="28" xfId="1" applyBorder="1"/>
    <xf numFmtId="0" fontId="1" fillId="0" borderId="29" xfId="1" applyBorder="1" applyAlignment="1">
      <alignment horizontal="center" vertical="center"/>
    </xf>
    <xf numFmtId="0" fontId="1" fillId="0" borderId="43" xfId="1" applyBorder="1"/>
    <xf numFmtId="0" fontId="1" fillId="0" borderId="47" xfId="1" applyBorder="1"/>
    <xf numFmtId="0" fontId="1" fillId="0" borderId="48" xfId="1" applyBorder="1"/>
    <xf numFmtId="0" fontId="66" fillId="24" borderId="33" xfId="11" applyFont="1" applyFill="1" applyBorder="1">
      <alignment horizontal="center" vertical="center"/>
    </xf>
    <xf numFmtId="0" fontId="1" fillId="0" borderId="33" xfId="1" applyBorder="1"/>
    <xf numFmtId="0" fontId="48" fillId="0" borderId="33" xfId="12" applyFont="1" applyFill="1" applyBorder="1">
      <alignment horizontal="center" vertical="center"/>
    </xf>
    <xf numFmtId="0" fontId="1" fillId="0" borderId="33" xfId="1" applyBorder="1" applyAlignment="1">
      <alignment horizontal="center" vertical="center"/>
    </xf>
    <xf numFmtId="176" fontId="49" fillId="0" borderId="49" xfId="9" applyNumberFormat="1" applyFont="1" applyFill="1" applyBorder="1">
      <alignment horizontal="center" vertical="center"/>
    </xf>
    <xf numFmtId="0" fontId="48" fillId="0" borderId="49" xfId="12" applyFont="1" applyFill="1" applyBorder="1">
      <alignment horizontal="center" vertical="center"/>
    </xf>
    <xf numFmtId="0" fontId="48" fillId="0" borderId="49" xfId="8" applyFont="1" applyFill="1" applyBorder="1">
      <alignment horizontal="center" vertical="center"/>
    </xf>
    <xf numFmtId="0" fontId="1" fillId="0" borderId="49" xfId="1" applyBorder="1"/>
    <xf numFmtId="0" fontId="1" fillId="0" borderId="49" xfId="1" applyBorder="1" applyAlignment="1">
      <alignment horizontal="center" vertical="center"/>
    </xf>
    <xf numFmtId="0" fontId="1" fillId="0" borderId="43" xfId="1" applyBorder="1" applyAlignment="1">
      <alignment horizontal="center" vertical="center"/>
    </xf>
    <xf numFmtId="0" fontId="1" fillId="0" borderId="50" xfId="1" applyBorder="1"/>
    <xf numFmtId="0" fontId="1" fillId="0" borderId="51" xfId="1" applyBorder="1"/>
    <xf numFmtId="0" fontId="1" fillId="0" borderId="52" xfId="1" applyBorder="1" applyAlignment="1">
      <alignment horizontal="center" vertical="center"/>
    </xf>
    <xf numFmtId="0" fontId="49" fillId="14" borderId="54" xfId="5" applyFont="1" applyBorder="1">
      <alignment horizontal="center" vertical="center"/>
    </xf>
    <xf numFmtId="0" fontId="88" fillId="21" borderId="33" xfId="11" applyFont="1" applyFill="1" applyBorder="1" applyAlignment="1">
      <alignment horizontal="center" vertical="center" wrapText="1"/>
    </xf>
    <xf numFmtId="0" fontId="66" fillId="24" borderId="28" xfId="11" applyFont="1" applyFill="1" applyBorder="1">
      <alignment horizontal="center" vertical="center"/>
    </xf>
    <xf numFmtId="0" fontId="1" fillId="0" borderId="55" xfId="1" applyBorder="1"/>
    <xf numFmtId="0" fontId="1" fillId="0" borderId="51" xfId="1" applyBorder="1" applyAlignment="1">
      <alignment horizontal="center" vertical="center"/>
    </xf>
    <xf numFmtId="0" fontId="49" fillId="14" borderId="33" xfId="5" applyFont="1" applyBorder="1">
      <alignment horizontal="center" vertical="center"/>
    </xf>
    <xf numFmtId="0" fontId="89" fillId="24" borderId="28" xfId="11" applyFont="1" applyFill="1" applyBorder="1" applyAlignment="1">
      <alignment horizontal="center" vertical="center" wrapText="1"/>
    </xf>
    <xf numFmtId="0" fontId="1" fillId="0" borderId="52" xfId="1" applyBorder="1"/>
    <xf numFmtId="0" fontId="48" fillId="0" borderId="29" xfId="8" applyFont="1" applyFill="1" applyBorder="1">
      <alignment horizontal="center" vertical="center"/>
    </xf>
    <xf numFmtId="176" fontId="49" fillId="0" borderId="33" xfId="9" applyNumberFormat="1" applyFont="1" applyFill="1" applyBorder="1">
      <alignment horizontal="center" vertical="center"/>
    </xf>
    <xf numFmtId="0" fontId="46" fillId="0" borderId="33" xfId="4" applyFont="1" applyFill="1" applyBorder="1">
      <alignment horizontal="center" vertical="center"/>
    </xf>
    <xf numFmtId="0" fontId="3" fillId="0" borderId="18" xfId="1" applyFont="1" applyBorder="1" applyAlignment="1">
      <alignment horizontal="center" vertical="center"/>
    </xf>
    <xf numFmtId="0" fontId="1" fillId="0" borderId="57" xfId="1" applyBorder="1" applyAlignment="1">
      <alignment horizontal="center" vertical="center"/>
    </xf>
    <xf numFmtId="0" fontId="1" fillId="0" borderId="39" xfId="1" applyBorder="1" applyAlignment="1">
      <alignment horizontal="center" vertical="center"/>
    </xf>
    <xf numFmtId="0" fontId="1" fillId="0" borderId="58" xfId="1" applyBorder="1" applyAlignment="1">
      <alignment horizontal="center" vertical="center"/>
    </xf>
    <xf numFmtId="0" fontId="1" fillId="0" borderId="20" xfId="1" applyBorder="1" applyAlignment="1">
      <alignment horizontal="center" vertical="center"/>
    </xf>
    <xf numFmtId="0" fontId="1" fillId="0" borderId="58" xfId="1" applyBorder="1"/>
    <xf numFmtId="0" fontId="1" fillId="0" borderId="59" xfId="1" applyBorder="1"/>
    <xf numFmtId="0" fontId="1" fillId="0" borderId="39" xfId="1" applyBorder="1"/>
    <xf numFmtId="0" fontId="1" fillId="0" borderId="54" xfId="1" applyBorder="1"/>
    <xf numFmtId="0" fontId="1" fillId="0" borderId="57" xfId="1" applyBorder="1"/>
    <xf numFmtId="0" fontId="1" fillId="0" borderId="60" xfId="1" applyBorder="1"/>
    <xf numFmtId="0" fontId="1" fillId="0" borderId="21" xfId="1" applyBorder="1" applyAlignment="1">
      <alignment horizontal="center" vertical="center"/>
    </xf>
    <xf numFmtId="0" fontId="1" fillId="0" borderId="61" xfId="1" applyBorder="1" applyAlignment="1">
      <alignment horizontal="center" vertical="center"/>
    </xf>
    <xf numFmtId="0" fontId="1" fillId="0" borderId="62" xfId="1" applyBorder="1" applyAlignment="1">
      <alignment horizontal="center" vertical="center"/>
    </xf>
    <xf numFmtId="0" fontId="1" fillId="0" borderId="63" xfId="1" applyBorder="1"/>
    <xf numFmtId="0" fontId="1" fillId="0" borderId="64" xfId="1" applyBorder="1" applyAlignment="1">
      <alignment horizontal="center" vertical="center"/>
    </xf>
    <xf numFmtId="0" fontId="1" fillId="0" borderId="65" xfId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88" fillId="21" borderId="64" xfId="11" applyFont="1" applyFill="1" applyBorder="1" applyAlignment="1">
      <alignment horizontal="center" vertical="center" wrapText="1"/>
    </xf>
    <xf numFmtId="0" fontId="46" fillId="5" borderId="39" xfId="4" applyFont="1" applyBorder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1" fillId="0" borderId="64" xfId="1" applyBorder="1"/>
    <xf numFmtId="0" fontId="38" fillId="0" borderId="49" xfId="4" applyFill="1" applyBorder="1">
      <alignment horizontal="center" vertical="center"/>
    </xf>
    <xf numFmtId="0" fontId="66" fillId="24" borderId="64" xfId="11" applyFont="1" applyFill="1" applyBorder="1">
      <alignment horizontal="center" vertical="center"/>
    </xf>
    <xf numFmtId="0" fontId="1" fillId="0" borderId="62" xfId="1" applyBorder="1"/>
    <xf numFmtId="0" fontId="1" fillId="0" borderId="9" xfId="1" applyBorder="1"/>
    <xf numFmtId="0" fontId="1" fillId="0" borderId="0" xfId="1" applyAlignment="1">
      <alignment horizontal="center" vertical="center" wrapText="1"/>
    </xf>
    <xf numFmtId="0" fontId="1" fillId="0" borderId="63" xfId="1" applyBorder="1" applyAlignment="1">
      <alignment horizontal="center" vertical="center" wrapText="1"/>
    </xf>
    <xf numFmtId="0" fontId="1" fillId="0" borderId="51" xfId="1" applyBorder="1" applyAlignment="1">
      <alignment horizontal="center" vertical="center" wrapText="1"/>
    </xf>
    <xf numFmtId="0" fontId="1" fillId="0" borderId="53" xfId="1" applyBorder="1" applyAlignment="1">
      <alignment horizontal="center" vertical="center" wrapText="1"/>
    </xf>
    <xf numFmtId="0" fontId="46" fillId="5" borderId="33" xfId="4" applyFont="1" applyBorder="1">
      <alignment horizontal="center" vertical="center"/>
    </xf>
    <xf numFmtId="0" fontId="49" fillId="14" borderId="28" xfId="5" applyFont="1" applyBorder="1">
      <alignment horizontal="center" vertical="center"/>
    </xf>
    <xf numFmtId="0" fontId="1" fillId="0" borderId="67" xfId="1" applyBorder="1"/>
    <xf numFmtId="0" fontId="1" fillId="0" borderId="53" xfId="1" applyBorder="1" applyAlignment="1">
      <alignment horizontal="center" vertical="center"/>
    </xf>
    <xf numFmtId="0" fontId="1" fillId="0" borderId="68" xfId="1" applyBorder="1" applyAlignment="1">
      <alignment horizontal="center" vertical="center"/>
    </xf>
    <xf numFmtId="176" fontId="49" fillId="9" borderId="33" xfId="9" applyNumberFormat="1" applyFont="1" applyBorder="1">
      <alignment horizontal="center" vertical="center"/>
    </xf>
    <xf numFmtId="0" fontId="90" fillId="0" borderId="24" xfId="1" applyFont="1" applyBorder="1" applyAlignment="1">
      <alignment horizontal="left" vertical="center"/>
    </xf>
    <xf numFmtId="0" fontId="49" fillId="14" borderId="49" xfId="5" applyFont="1" applyBorder="1">
      <alignment horizontal="center" vertical="center"/>
    </xf>
    <xf numFmtId="0" fontId="46" fillId="0" borderId="49" xfId="4" applyFont="1" applyFill="1" applyBorder="1">
      <alignment horizontal="center" vertical="center"/>
    </xf>
    <xf numFmtId="0" fontId="1" fillId="0" borderId="69" xfId="1" applyBorder="1"/>
    <xf numFmtId="0" fontId="1" fillId="0" borderId="70" xfId="1" applyBorder="1"/>
    <xf numFmtId="0" fontId="1" fillId="0" borderId="71" xfId="1" applyBorder="1"/>
    <xf numFmtId="0" fontId="1" fillId="0" borderId="72" xfId="1" applyBorder="1"/>
    <xf numFmtId="0" fontId="1" fillId="0" borderId="29" xfId="1" applyBorder="1" applyAlignment="1">
      <alignment horizontal="center" vertical="center" wrapText="1"/>
    </xf>
    <xf numFmtId="0" fontId="1" fillId="0" borderId="55" xfId="1" applyBorder="1" applyAlignment="1">
      <alignment horizontal="center" vertical="center" wrapText="1"/>
    </xf>
    <xf numFmtId="0" fontId="1" fillId="0" borderId="0" xfId="1" applyAlignment="1">
      <alignment horizontal="left"/>
    </xf>
    <xf numFmtId="0" fontId="81" fillId="0" borderId="73" xfId="1" applyFont="1" applyBorder="1" applyAlignment="1">
      <alignment horizontal="left" vertical="center"/>
    </xf>
    <xf numFmtId="0" fontId="1" fillId="0" borderId="74" xfId="1" applyBorder="1"/>
    <xf numFmtId="0" fontId="40" fillId="22" borderId="36" xfId="11" applyFont="1" applyFill="1" applyBorder="1" applyAlignment="1">
      <alignment horizontal="center" vertical="center" wrapText="1"/>
    </xf>
    <xf numFmtId="0" fontId="1" fillId="0" borderId="45" xfId="1" applyBorder="1" applyAlignment="1">
      <alignment horizontal="center" vertical="center"/>
    </xf>
    <xf numFmtId="0" fontId="1" fillId="0" borderId="53" xfId="1" applyBorder="1"/>
    <xf numFmtId="0" fontId="42" fillId="0" borderId="49" xfId="1" applyFont="1" applyBorder="1" applyAlignment="1">
      <alignment horizontal="left" vertical="center"/>
    </xf>
    <xf numFmtId="0" fontId="92" fillId="0" borderId="23" xfId="1" applyFont="1" applyBorder="1" applyAlignment="1">
      <alignment horizontal="left" vertical="center"/>
    </xf>
    <xf numFmtId="0" fontId="93" fillId="0" borderId="29" xfId="1" applyFont="1" applyBorder="1" applyAlignment="1">
      <alignment horizontal="left" vertical="center"/>
    </xf>
    <xf numFmtId="0" fontId="24" fillId="0" borderId="2" xfId="1" applyFont="1" applyBorder="1" applyAlignment="1">
      <alignment horizontal="left" vertical="center"/>
    </xf>
    <xf numFmtId="0" fontId="94" fillId="28" borderId="33" xfId="4" applyFont="1" applyFill="1" applyBorder="1">
      <alignment horizontal="center" vertical="center"/>
    </xf>
    <xf numFmtId="0" fontId="49" fillId="29" borderId="29" xfId="5" applyFont="1" applyFill="1" applyBorder="1">
      <alignment horizontal="center" vertical="center"/>
    </xf>
    <xf numFmtId="0" fontId="49" fillId="29" borderId="28" xfId="5" applyFont="1" applyFill="1" applyBorder="1">
      <alignment horizontal="center" vertical="center"/>
    </xf>
    <xf numFmtId="0" fontId="94" fillId="29" borderId="36" xfId="11" applyFont="1" applyFill="1" applyBorder="1">
      <alignment horizontal="center" vertical="center"/>
    </xf>
    <xf numFmtId="0" fontId="94" fillId="29" borderId="29" xfId="5" applyFont="1" applyFill="1" applyBorder="1">
      <alignment horizontal="center" vertical="center"/>
    </xf>
    <xf numFmtId="176" fontId="94" fillId="28" borderId="36" xfId="10" applyNumberFormat="1" applyFont="1" applyFill="1" applyBorder="1">
      <alignment horizontal="center" vertical="center"/>
    </xf>
    <xf numFmtId="0" fontId="94" fillId="29" borderId="29" xfId="11" applyFont="1" applyFill="1" applyBorder="1">
      <alignment horizontal="center" vertical="center"/>
    </xf>
    <xf numFmtId="0" fontId="94" fillId="28" borderId="36" xfId="8" applyFont="1" applyFill="1" applyBorder="1">
      <alignment horizontal="center" vertical="center"/>
    </xf>
    <xf numFmtId="0" fontId="49" fillId="29" borderId="36" xfId="5" applyFont="1" applyFill="1" applyBorder="1">
      <alignment horizontal="center" vertical="center"/>
    </xf>
    <xf numFmtId="0" fontId="94" fillId="29" borderId="36" xfId="5" applyFont="1" applyFill="1" applyBorder="1">
      <alignment horizontal="center" vertical="center"/>
    </xf>
    <xf numFmtId="176" fontId="49" fillId="28" borderId="36" xfId="9" applyNumberFormat="1" applyFont="1" applyFill="1" applyBorder="1">
      <alignment horizontal="center" vertical="center"/>
    </xf>
    <xf numFmtId="176" fontId="94" fillId="28" borderId="36" xfId="9" applyNumberFormat="1" applyFont="1" applyFill="1" applyBorder="1">
      <alignment horizontal="center" vertical="center"/>
    </xf>
    <xf numFmtId="0" fontId="94" fillId="28" borderId="36" xfId="4" applyFont="1" applyFill="1" applyBorder="1">
      <alignment horizontal="center" vertical="center"/>
    </xf>
    <xf numFmtId="0" fontId="94" fillId="28" borderId="29" xfId="4" applyFont="1" applyFill="1" applyBorder="1">
      <alignment horizontal="center" vertical="center"/>
    </xf>
    <xf numFmtId="0" fontId="94" fillId="29" borderId="49" xfId="5" applyFont="1" applyFill="1" applyBorder="1">
      <alignment horizontal="center" vertical="center"/>
    </xf>
    <xf numFmtId="0" fontId="94" fillId="29" borderId="28" xfId="5" applyFont="1" applyFill="1" applyBorder="1">
      <alignment horizontal="center" vertical="center"/>
    </xf>
    <xf numFmtId="0" fontId="94" fillId="28" borderId="36" xfId="7" applyFont="1" applyFill="1" applyBorder="1">
      <alignment horizontal="center" vertical="center"/>
    </xf>
    <xf numFmtId="0" fontId="94" fillId="29" borderId="33" xfId="11" applyFont="1" applyFill="1" applyBorder="1">
      <alignment horizontal="center" vertical="center"/>
    </xf>
    <xf numFmtId="0" fontId="94" fillId="29" borderId="33" xfId="5" applyFont="1" applyFill="1" applyBorder="1">
      <alignment horizontal="center" vertical="center"/>
    </xf>
    <xf numFmtId="0" fontId="94" fillId="28" borderId="39" xfId="4" applyFont="1" applyFill="1" applyBorder="1">
      <alignment horizontal="center" vertical="center"/>
    </xf>
    <xf numFmtId="0" fontId="94" fillId="27" borderId="29" xfId="11" applyFont="1" applyFill="1" applyBorder="1">
      <alignment horizontal="center" vertical="center"/>
    </xf>
    <xf numFmtId="0" fontId="49" fillId="27" borderId="36" xfId="5" applyFont="1" applyFill="1" applyBorder="1">
      <alignment horizontal="center" vertical="center"/>
    </xf>
    <xf numFmtId="0" fontId="94" fillId="30" borderId="28" xfId="7" applyFont="1" applyFill="1" applyBorder="1">
      <alignment horizontal="center" vertical="center"/>
    </xf>
    <xf numFmtId="0" fontId="94" fillId="27" borderId="36" xfId="11" applyFont="1" applyFill="1" applyBorder="1">
      <alignment horizontal="center" vertical="center"/>
    </xf>
    <xf numFmtId="0" fontId="94" fillId="30" borderId="36" xfId="7" applyFont="1" applyFill="1" applyBorder="1">
      <alignment horizontal="center" vertical="center"/>
    </xf>
    <xf numFmtId="0" fontId="49" fillId="30" borderId="36" xfId="10" applyFont="1" applyFill="1" applyBorder="1">
      <alignment horizontal="center" vertical="center"/>
    </xf>
    <xf numFmtId="0" fontId="94" fillId="30" borderId="36" xfId="8" applyFont="1" applyFill="1" applyBorder="1">
      <alignment horizontal="center" vertical="center"/>
    </xf>
    <xf numFmtId="0" fontId="94" fillId="27" borderId="36" xfId="5" applyFont="1" applyFill="1" applyBorder="1">
      <alignment horizontal="center" vertical="center"/>
    </xf>
    <xf numFmtId="176" fontId="94" fillId="30" borderId="29" xfId="9" applyNumberFormat="1" applyFont="1" applyFill="1" applyBorder="1">
      <alignment horizontal="center" vertical="center"/>
    </xf>
    <xf numFmtId="0" fontId="94" fillId="30" borderId="36" xfId="10" applyFont="1" applyFill="1" applyBorder="1">
      <alignment horizontal="center" vertical="center"/>
    </xf>
    <xf numFmtId="0" fontId="94" fillId="27" borderId="28" xfId="11" applyFont="1" applyFill="1" applyBorder="1">
      <alignment horizontal="center" vertical="center"/>
    </xf>
    <xf numFmtId="0" fontId="94" fillId="30" borderId="36" xfId="4" applyFont="1" applyFill="1" applyBorder="1">
      <alignment horizontal="center" vertical="center"/>
    </xf>
    <xf numFmtId="176" fontId="94" fillId="30" borderId="36" xfId="9" applyNumberFormat="1" applyFont="1" applyFill="1" applyBorder="1">
      <alignment horizontal="center" vertical="center"/>
    </xf>
    <xf numFmtId="176" fontId="94" fillId="32" borderId="36" xfId="9" applyNumberFormat="1" applyFont="1" applyFill="1" applyBorder="1">
      <alignment horizontal="center" vertical="center"/>
    </xf>
    <xf numFmtId="0" fontId="94" fillId="31" borderId="36" xfId="5" applyFont="1" applyFill="1" applyBorder="1">
      <alignment horizontal="center" vertical="center"/>
    </xf>
    <xf numFmtId="0" fontId="94" fillId="31" borderId="36" xfId="11" applyFont="1" applyFill="1" applyBorder="1">
      <alignment horizontal="center" vertical="center"/>
    </xf>
    <xf numFmtId="0" fontId="94" fillId="31" borderId="29" xfId="11" applyFont="1" applyFill="1" applyBorder="1">
      <alignment horizontal="center" vertical="center"/>
    </xf>
    <xf numFmtId="0" fontId="94" fillId="32" borderId="29" xfId="7" applyFont="1" applyFill="1" applyBorder="1">
      <alignment horizontal="center" vertical="center"/>
    </xf>
    <xf numFmtId="0" fontId="75" fillId="31" borderId="15" xfId="1" applyFont="1" applyFill="1" applyBorder="1" applyAlignment="1">
      <alignment horizontal="center" vertical="center"/>
    </xf>
    <xf numFmtId="0" fontId="75" fillId="27" borderId="15" xfId="1" applyFont="1" applyFill="1" applyBorder="1" applyAlignment="1">
      <alignment horizontal="center" vertical="center"/>
    </xf>
    <xf numFmtId="0" fontId="94" fillId="32" borderId="36" xfId="10" applyFont="1" applyFill="1" applyBorder="1">
      <alignment horizontal="center" vertical="center"/>
    </xf>
    <xf numFmtId="0" fontId="94" fillId="32" borderId="36" xfId="4" applyFont="1" applyFill="1" applyBorder="1">
      <alignment horizontal="center" vertical="center"/>
    </xf>
    <xf numFmtId="0" fontId="94" fillId="31" borderId="64" xfId="11" applyFont="1" applyFill="1" applyBorder="1">
      <alignment horizontal="center" vertical="center"/>
    </xf>
    <xf numFmtId="0" fontId="49" fillId="33" borderId="36" xfId="5" applyFont="1" applyFill="1" applyBorder="1">
      <alignment horizontal="center" vertical="center"/>
    </xf>
    <xf numFmtId="0" fontId="94" fillId="33" borderId="36" xfId="11" applyFont="1" applyFill="1" applyBorder="1">
      <alignment horizontal="center" vertical="center"/>
    </xf>
    <xf numFmtId="0" fontId="94" fillId="34" borderId="36" xfId="7" applyFont="1" applyFill="1" applyBorder="1">
      <alignment horizontal="center" vertical="center"/>
    </xf>
    <xf numFmtId="0" fontId="94" fillId="34" borderId="36" xfId="10" applyFont="1" applyFill="1" applyBorder="1">
      <alignment horizontal="center" vertical="center"/>
    </xf>
    <xf numFmtId="0" fontId="94" fillId="33" borderId="36" xfId="5" applyFont="1" applyFill="1" applyBorder="1">
      <alignment horizontal="center" vertical="center"/>
    </xf>
    <xf numFmtId="0" fontId="94" fillId="34" borderId="29" xfId="4" applyFont="1" applyFill="1" applyBorder="1">
      <alignment horizontal="center" vertical="center"/>
    </xf>
    <xf numFmtId="0" fontId="94" fillId="24" borderId="36" xfId="11" applyFont="1" applyFill="1" applyBorder="1">
      <alignment horizontal="center" vertical="center"/>
    </xf>
    <xf numFmtId="0" fontId="94" fillId="35" borderId="36" xfId="8" applyFont="1" applyFill="1" applyBorder="1">
      <alignment horizontal="center" vertical="center"/>
    </xf>
    <xf numFmtId="0" fontId="94" fillId="24" borderId="36" xfId="5" applyFont="1" applyFill="1" applyBorder="1">
      <alignment horizontal="center" vertical="center"/>
    </xf>
    <xf numFmtId="0" fontId="94" fillId="35" borderId="29" xfId="4" applyFont="1" applyFill="1" applyBorder="1">
      <alignment horizontal="center" vertical="center"/>
    </xf>
    <xf numFmtId="176" fontId="48" fillId="36" borderId="36" xfId="9" applyNumberFormat="1" applyFont="1" applyFill="1" applyBorder="1">
      <alignment horizontal="center" vertical="center"/>
    </xf>
    <xf numFmtId="176" fontId="89" fillId="0" borderId="36" xfId="9" applyNumberFormat="1" applyFont="1" applyFill="1" applyBorder="1" applyAlignment="1">
      <alignment horizontal="center" vertical="center" wrapText="1"/>
    </xf>
    <xf numFmtId="0" fontId="88" fillId="0" borderId="36" xfId="11" applyFont="1" applyFill="1" applyBorder="1" applyAlignment="1">
      <alignment horizontal="center" vertical="center" wrapText="1"/>
    </xf>
    <xf numFmtId="0" fontId="94" fillId="27" borderId="39" xfId="11" applyFont="1" applyFill="1" applyBorder="1">
      <alignment horizontal="center" vertical="center"/>
    </xf>
    <xf numFmtId="176" fontId="94" fillId="30" borderId="36" xfId="10" applyNumberFormat="1" applyFont="1" applyFill="1" applyBorder="1">
      <alignment horizontal="center" vertical="center"/>
    </xf>
    <xf numFmtId="0" fontId="94" fillId="30" borderId="29" xfId="7" applyFont="1" applyFill="1" applyBorder="1">
      <alignment horizontal="center" vertical="center"/>
    </xf>
    <xf numFmtId="176" fontId="94" fillId="30" borderId="33" xfId="9" applyNumberFormat="1" applyFont="1" applyFill="1" applyBorder="1">
      <alignment horizontal="center" vertical="center"/>
    </xf>
    <xf numFmtId="176" fontId="49" fillId="32" borderId="36" xfId="10" applyNumberFormat="1" applyFont="1" applyFill="1" applyBorder="1">
      <alignment horizontal="center" vertical="center"/>
    </xf>
    <xf numFmtId="0" fontId="94" fillId="31" borderId="33" xfId="11" applyFont="1" applyFill="1" applyBorder="1">
      <alignment horizontal="center" vertical="center"/>
    </xf>
    <xf numFmtId="0" fontId="94" fillId="32" borderId="36" xfId="7" applyFont="1" applyFill="1" applyBorder="1">
      <alignment horizontal="center" vertical="center"/>
    </xf>
    <xf numFmtId="0" fontId="94" fillId="32" borderId="36" xfId="8" applyFont="1" applyFill="1" applyBorder="1">
      <alignment horizontal="center" vertical="center"/>
    </xf>
    <xf numFmtId="176" fontId="94" fillId="32" borderId="36" xfId="10" applyNumberFormat="1" applyFont="1" applyFill="1" applyBorder="1">
      <alignment horizontal="center" vertical="center"/>
    </xf>
    <xf numFmtId="0" fontId="94" fillId="32" borderId="43" xfId="7" applyFont="1" applyFill="1" applyBorder="1">
      <alignment horizontal="center" vertical="center"/>
    </xf>
    <xf numFmtId="0" fontId="94" fillId="34" borderId="36" xfId="4" applyFont="1" applyFill="1" applyBorder="1">
      <alignment horizontal="center" vertical="center"/>
    </xf>
    <xf numFmtId="176" fontId="94" fillId="34" borderId="36" xfId="10" applyNumberFormat="1" applyFont="1" applyFill="1" applyBorder="1">
      <alignment horizontal="center" vertical="center"/>
    </xf>
    <xf numFmtId="0" fontId="94" fillId="34" borderId="36" xfId="8" applyFont="1" applyFill="1" applyBorder="1">
      <alignment horizontal="center" vertical="center"/>
    </xf>
    <xf numFmtId="176" fontId="94" fillId="34" borderId="36" xfId="9" applyNumberFormat="1" applyFont="1" applyFill="1" applyBorder="1">
      <alignment horizontal="center" vertical="center"/>
    </xf>
    <xf numFmtId="176" fontId="49" fillId="35" borderId="36" xfId="10" applyNumberFormat="1" applyFont="1" applyFill="1" applyBorder="1">
      <alignment horizontal="center" vertical="center"/>
    </xf>
    <xf numFmtId="0" fontId="94" fillId="35" borderId="36" xfId="7" applyFont="1" applyFill="1" applyBorder="1">
      <alignment horizontal="center" vertical="center"/>
    </xf>
    <xf numFmtId="176" fontId="94" fillId="35" borderId="36" xfId="10" applyNumberFormat="1" applyFont="1" applyFill="1" applyBorder="1">
      <alignment horizontal="center" vertical="center"/>
    </xf>
    <xf numFmtId="0" fontId="95" fillId="0" borderId="23" xfId="1" applyFont="1" applyBorder="1" applyAlignment="1">
      <alignment horizontal="left" vertical="center"/>
    </xf>
    <xf numFmtId="0" fontId="46" fillId="36" borderId="39" xfId="4" applyFont="1" applyFill="1" applyBorder="1">
      <alignment horizontal="center" vertical="center"/>
    </xf>
    <xf numFmtId="0" fontId="90" fillId="0" borderId="64" xfId="1" applyFont="1" applyBorder="1" applyAlignment="1">
      <alignment horizontal="left" vertical="center"/>
    </xf>
    <xf numFmtId="0" fontId="1" fillId="0" borderId="73" xfId="1" applyBorder="1" applyAlignment="1">
      <alignment horizontal="left" vertical="center"/>
    </xf>
    <xf numFmtId="0" fontId="91" fillId="0" borderId="78" xfId="1" applyFont="1" applyBorder="1" applyAlignment="1">
      <alignment horizontal="center" vertical="center"/>
    </xf>
    <xf numFmtId="0" fontId="91" fillId="0" borderId="72" xfId="1" applyFont="1" applyBorder="1" applyAlignment="1">
      <alignment horizontal="center" vertical="center"/>
    </xf>
    <xf numFmtId="0" fontId="1" fillId="0" borderId="69" xfId="1" applyBorder="1" applyAlignment="1">
      <alignment horizontal="center" vertical="center"/>
    </xf>
    <xf numFmtId="0" fontId="1" fillId="0" borderId="27" xfId="1" applyBorder="1" applyAlignment="1">
      <alignment horizontal="center" vertical="center" wrapText="1"/>
    </xf>
    <xf numFmtId="0" fontId="1" fillId="0" borderId="79" xfId="1" applyBorder="1" applyAlignment="1">
      <alignment horizontal="center" vertical="center"/>
    </xf>
    <xf numFmtId="0" fontId="1" fillId="0" borderId="44" xfId="1" applyBorder="1" applyAlignment="1">
      <alignment horizontal="center" vertical="center"/>
    </xf>
    <xf numFmtId="0" fontId="46" fillId="5" borderId="54" xfId="4" applyFont="1" applyBorder="1">
      <alignment horizontal="center" vertical="center"/>
    </xf>
    <xf numFmtId="0" fontId="46" fillId="0" borderId="58" xfId="4" applyFont="1" applyFill="1" applyBorder="1">
      <alignment horizontal="center" vertical="center"/>
    </xf>
    <xf numFmtId="0" fontId="91" fillId="0" borderId="70" xfId="1" applyFont="1" applyBorder="1" applyAlignment="1">
      <alignment horizontal="center" vertical="center"/>
    </xf>
    <xf numFmtId="0" fontId="1" fillId="0" borderId="80" xfId="1" applyBorder="1" applyAlignment="1">
      <alignment horizontal="left" vertical="center"/>
    </xf>
    <xf numFmtId="0" fontId="1" fillId="0" borderId="60" xfId="1" applyBorder="1" applyAlignment="1">
      <alignment horizontal="center" vertical="center"/>
    </xf>
    <xf numFmtId="0" fontId="1" fillId="0" borderId="81" xfId="1" applyBorder="1" applyAlignment="1">
      <alignment horizontal="center" vertical="center"/>
    </xf>
    <xf numFmtId="0" fontId="3" fillId="0" borderId="19" xfId="1" applyFont="1" applyBorder="1" applyAlignment="1">
      <alignment horizontal="center" vertical="center"/>
    </xf>
    <xf numFmtId="0" fontId="46" fillId="36" borderId="54" xfId="4" applyFont="1" applyFill="1" applyBorder="1">
      <alignment horizontal="center" vertical="center"/>
    </xf>
    <xf numFmtId="0" fontId="94" fillId="28" borderId="54" xfId="4" applyFont="1" applyFill="1" applyBorder="1">
      <alignment horizontal="center" vertical="center"/>
    </xf>
    <xf numFmtId="0" fontId="94" fillId="29" borderId="36" xfId="5" applyFont="1" applyFill="1" applyBorder="1" applyAlignment="1">
      <alignment horizontal="center" vertical="center" wrapText="1"/>
    </xf>
    <xf numFmtId="0" fontId="94" fillId="28" borderId="36" xfId="4" applyFont="1" applyFill="1" applyBorder="1" applyAlignment="1">
      <alignment horizontal="center" vertical="center" wrapText="1"/>
    </xf>
    <xf numFmtId="0" fontId="49" fillId="14" borderId="36" xfId="5" applyFont="1" applyBorder="1" applyAlignment="1">
      <alignment horizontal="center" vertical="center" wrapText="1"/>
    </xf>
    <xf numFmtId="0" fontId="46" fillId="5" borderId="36" xfId="4" applyFont="1" applyBorder="1" applyAlignment="1">
      <alignment horizontal="center" vertical="center" wrapText="1"/>
    </xf>
    <xf numFmtId="0" fontId="66" fillId="24" borderId="36" xfId="11" applyFont="1" applyFill="1" applyBorder="1" applyAlignment="1">
      <alignment horizontal="center" vertical="center" wrapText="1"/>
    </xf>
    <xf numFmtId="0" fontId="47" fillId="7" borderId="36" xfId="7" applyFont="1" applyBorder="1" applyAlignment="1">
      <alignment horizontal="center" vertical="center" wrapText="1"/>
    </xf>
    <xf numFmtId="0" fontId="83" fillId="26" borderId="40" xfId="1" applyFont="1" applyFill="1" applyBorder="1" applyAlignment="1">
      <alignment horizontal="center" vertical="center"/>
    </xf>
    <xf numFmtId="0" fontId="83" fillId="26" borderId="41" xfId="1" applyFont="1" applyFill="1" applyBorder="1" applyAlignment="1">
      <alignment horizontal="center" vertical="center"/>
    </xf>
    <xf numFmtId="0" fontId="83" fillId="26" borderId="42" xfId="1" applyFont="1" applyFill="1" applyBorder="1" applyAlignment="1">
      <alignment horizontal="center" vertical="center"/>
    </xf>
    <xf numFmtId="0" fontId="22" fillId="27" borderId="56" xfId="1" applyFont="1" applyFill="1" applyBorder="1" applyAlignment="1">
      <alignment horizontal="center" vertical="center"/>
    </xf>
    <xf numFmtId="0" fontId="22" fillId="27" borderId="32" xfId="1" applyFont="1" applyFill="1" applyBorder="1" applyAlignment="1">
      <alignment horizontal="center" vertical="center"/>
    </xf>
    <xf numFmtId="0" fontId="19" fillId="2" borderId="56" xfId="1" applyFont="1" applyFill="1" applyBorder="1" applyAlignment="1">
      <alignment horizontal="center" vertical="center"/>
    </xf>
    <xf numFmtId="0" fontId="19" fillId="2" borderId="66" xfId="1" applyFont="1" applyFill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10" xfId="1" applyFont="1" applyBorder="1" applyAlignment="1">
      <alignment horizontal="center" vertical="center"/>
    </xf>
    <xf numFmtId="0" fontId="67" fillId="23" borderId="4" xfId="1" applyFont="1" applyFill="1" applyBorder="1" applyAlignment="1">
      <alignment horizontal="center" vertical="center"/>
    </xf>
    <xf numFmtId="0" fontId="67" fillId="23" borderId="0" xfId="1" applyFont="1" applyFill="1" applyAlignment="1">
      <alignment horizontal="center" vertical="center"/>
    </xf>
    <xf numFmtId="0" fontId="67" fillId="23" borderId="5" xfId="1" applyFont="1" applyFill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20" fillId="0" borderId="13" xfId="1" applyFont="1" applyBorder="1" applyAlignment="1">
      <alignment horizontal="center" vertical="center"/>
    </xf>
    <xf numFmtId="0" fontId="20" fillId="0" borderId="14" xfId="1" applyFont="1" applyBorder="1" applyAlignment="1">
      <alignment horizontal="center" vertical="center"/>
    </xf>
    <xf numFmtId="0" fontId="64" fillId="0" borderId="1" xfId="1" applyFont="1" applyBorder="1" applyAlignment="1">
      <alignment horizontal="center" vertical="center"/>
    </xf>
    <xf numFmtId="0" fontId="64" fillId="0" borderId="2" xfId="1" applyFont="1" applyBorder="1" applyAlignment="1">
      <alignment horizontal="center" vertical="center"/>
    </xf>
    <xf numFmtId="0" fontId="64" fillId="0" borderId="8" xfId="1" applyFont="1" applyBorder="1" applyAlignment="1">
      <alignment horizontal="center" vertical="center"/>
    </xf>
    <xf numFmtId="0" fontId="64" fillId="0" borderId="9" xfId="1" applyFont="1" applyBorder="1" applyAlignment="1">
      <alignment horizontal="center" vertical="center"/>
    </xf>
    <xf numFmtId="0" fontId="64" fillId="0" borderId="6" xfId="1" applyFont="1" applyBorder="1" applyAlignment="1">
      <alignment horizontal="center" vertical="center"/>
    </xf>
    <xf numFmtId="0" fontId="64" fillId="0" borderId="12" xfId="1" applyFont="1" applyBorder="1" applyAlignment="1">
      <alignment horizontal="center" vertical="center"/>
    </xf>
    <xf numFmtId="0" fontId="85" fillId="0" borderId="23" xfId="1" applyFont="1" applyBorder="1" applyAlignment="1">
      <alignment horizontal="center" vertical="center"/>
    </xf>
    <xf numFmtId="0" fontId="87" fillId="0" borderId="24" xfId="1" applyFont="1" applyBorder="1" applyAlignment="1">
      <alignment horizontal="center" vertical="center"/>
    </xf>
    <xf numFmtId="0" fontId="51" fillId="0" borderId="23" xfId="1" applyFont="1" applyBorder="1" applyAlignment="1">
      <alignment horizontal="center" vertical="center" wrapText="1"/>
    </xf>
    <xf numFmtId="0" fontId="51" fillId="0" borderId="24" xfId="1" applyFont="1" applyBorder="1" applyAlignment="1">
      <alignment horizontal="center" vertical="center" wrapText="1"/>
    </xf>
    <xf numFmtId="0" fontId="56" fillId="22" borderId="7" xfId="1" applyFont="1" applyFill="1" applyBorder="1" applyAlignment="1">
      <alignment horizontal="center" vertical="center"/>
    </xf>
    <xf numFmtId="0" fontId="56" fillId="22" borderId="2" xfId="1" applyFont="1" applyFill="1" applyBorder="1" applyAlignment="1">
      <alignment horizontal="center" vertical="center"/>
    </xf>
    <xf numFmtId="0" fontId="56" fillId="22" borderId="8" xfId="1" applyFont="1" applyFill="1" applyBorder="1" applyAlignment="1">
      <alignment horizontal="center" vertical="center"/>
    </xf>
    <xf numFmtId="0" fontId="56" fillId="17" borderId="11" xfId="1" applyFont="1" applyFill="1" applyBorder="1" applyAlignment="1">
      <alignment horizontal="center" vertical="center"/>
    </xf>
    <xf numFmtId="0" fontId="56" fillId="17" borderId="6" xfId="1" applyFont="1" applyFill="1" applyBorder="1" applyAlignment="1">
      <alignment horizontal="center" vertical="center"/>
    </xf>
    <xf numFmtId="0" fontId="56" fillId="17" borderId="12" xfId="1" applyFont="1" applyFill="1" applyBorder="1" applyAlignment="1">
      <alignment horizontal="center" vertical="center"/>
    </xf>
    <xf numFmtId="0" fontId="59" fillId="17" borderId="7" xfId="1" applyFont="1" applyFill="1" applyBorder="1" applyAlignment="1">
      <alignment horizontal="center" vertical="center"/>
    </xf>
    <xf numFmtId="0" fontId="59" fillId="17" borderId="2" xfId="1" applyFont="1" applyFill="1" applyBorder="1" applyAlignment="1">
      <alignment horizontal="center" vertical="center"/>
    </xf>
    <xf numFmtId="0" fontId="59" fillId="17" borderId="3" xfId="1" applyFont="1" applyFill="1" applyBorder="1" applyAlignment="1">
      <alignment horizontal="center" vertical="center"/>
    </xf>
    <xf numFmtId="0" fontId="59" fillId="17" borderId="11" xfId="1" applyFont="1" applyFill="1" applyBorder="1" applyAlignment="1">
      <alignment horizontal="center" vertical="center"/>
    </xf>
    <xf numFmtId="0" fontId="59" fillId="17" borderId="6" xfId="1" applyFont="1" applyFill="1" applyBorder="1" applyAlignment="1">
      <alignment horizontal="center" vertical="center"/>
    </xf>
    <xf numFmtId="0" fontId="59" fillId="17" borderId="10" xfId="1" applyFont="1" applyFill="1" applyBorder="1" applyAlignment="1">
      <alignment horizontal="center" vertical="center"/>
    </xf>
    <xf numFmtId="0" fontId="58" fillId="0" borderId="7" xfId="1" applyFont="1" applyBorder="1" applyAlignment="1">
      <alignment horizontal="center" vertical="center"/>
    </xf>
    <xf numFmtId="0" fontId="58" fillId="0" borderId="2" xfId="1" applyFont="1" applyBorder="1" applyAlignment="1">
      <alignment horizontal="center" vertical="center"/>
    </xf>
    <xf numFmtId="0" fontId="58" fillId="0" borderId="8" xfId="1" applyFont="1" applyBorder="1" applyAlignment="1">
      <alignment horizontal="center" vertical="center"/>
    </xf>
    <xf numFmtId="0" fontId="58" fillId="0" borderId="11" xfId="1" applyFont="1" applyBorder="1" applyAlignment="1">
      <alignment horizontal="center" vertical="center"/>
    </xf>
    <xf numFmtId="0" fontId="58" fillId="0" borderId="6" xfId="1" applyFont="1" applyBorder="1" applyAlignment="1">
      <alignment horizontal="center" vertical="center"/>
    </xf>
    <xf numFmtId="0" fontId="58" fillId="0" borderId="12" xfId="1" applyFont="1" applyBorder="1" applyAlignment="1">
      <alignment horizontal="center" vertical="center"/>
    </xf>
    <xf numFmtId="0" fontId="92" fillId="0" borderId="75" xfId="1" applyFont="1" applyBorder="1" applyAlignment="1">
      <alignment horizontal="center" vertical="center" wrapText="1"/>
    </xf>
    <xf numFmtId="0" fontId="92" fillId="0" borderId="46" xfId="1" applyFont="1" applyBorder="1" applyAlignment="1">
      <alignment horizontal="center" vertical="center" wrapText="1"/>
    </xf>
    <xf numFmtId="0" fontId="92" fillId="0" borderId="23" xfId="1" applyFont="1" applyBorder="1" applyAlignment="1">
      <alignment horizontal="center" vertical="center" wrapText="1"/>
    </xf>
    <xf numFmtId="0" fontId="92" fillId="0" borderId="24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0" fontId="57" fillId="17" borderId="7" xfId="1" applyFont="1" applyFill="1" applyBorder="1" applyAlignment="1">
      <alignment horizontal="center" vertical="center"/>
    </xf>
    <xf numFmtId="0" fontId="57" fillId="17" borderId="2" xfId="1" applyFont="1" applyFill="1" applyBorder="1" applyAlignment="1">
      <alignment horizontal="center" vertical="center"/>
    </xf>
    <xf numFmtId="0" fontId="57" fillId="17" borderId="3" xfId="1" applyFont="1" applyFill="1" applyBorder="1" applyAlignment="1">
      <alignment horizontal="center" vertical="center"/>
    </xf>
    <xf numFmtId="0" fontId="56" fillId="17" borderId="10" xfId="1" applyFont="1" applyFill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55" fillId="0" borderId="11" xfId="1" applyFont="1" applyBorder="1" applyAlignment="1">
      <alignment horizontal="center" vertical="center"/>
    </xf>
    <xf numFmtId="0" fontId="55" fillId="0" borderId="6" xfId="1" applyFont="1" applyBorder="1" applyAlignment="1">
      <alignment horizontal="center" vertical="center"/>
    </xf>
    <xf numFmtId="0" fontId="55" fillId="0" borderId="12" xfId="1" applyFont="1" applyBorder="1" applyAlignment="1">
      <alignment horizontal="center" vertical="center"/>
    </xf>
    <xf numFmtId="0" fontId="60" fillId="17" borderId="7" xfId="1" applyFont="1" applyFill="1" applyBorder="1" applyAlignment="1">
      <alignment horizontal="center" vertical="center"/>
    </xf>
    <xf numFmtId="0" fontId="60" fillId="17" borderId="2" xfId="1" applyFont="1" applyFill="1" applyBorder="1" applyAlignment="1">
      <alignment horizontal="center" vertical="center"/>
    </xf>
    <xf numFmtId="0" fontId="60" fillId="17" borderId="3" xfId="1" applyFont="1" applyFill="1" applyBorder="1" applyAlignment="1">
      <alignment horizontal="center" vertical="center"/>
    </xf>
    <xf numFmtId="0" fontId="60" fillId="17" borderId="11" xfId="1" applyFont="1" applyFill="1" applyBorder="1" applyAlignment="1">
      <alignment horizontal="center" vertical="center"/>
    </xf>
    <xf numFmtId="0" fontId="60" fillId="17" borderId="6" xfId="1" applyFont="1" applyFill="1" applyBorder="1" applyAlignment="1">
      <alignment horizontal="center" vertical="center"/>
    </xf>
    <xf numFmtId="0" fontId="60" fillId="17" borderId="10" xfId="1" applyFont="1" applyFill="1" applyBorder="1" applyAlignment="1">
      <alignment horizontal="center" vertical="center"/>
    </xf>
    <xf numFmtId="0" fontId="54" fillId="0" borderId="7" xfId="1" applyFont="1" applyBorder="1" applyAlignment="1">
      <alignment horizontal="center" vertical="center"/>
    </xf>
    <xf numFmtId="0" fontId="54" fillId="0" borderId="2" xfId="1" applyFont="1" applyBorder="1" applyAlignment="1">
      <alignment horizontal="center" vertical="center"/>
    </xf>
    <xf numFmtId="0" fontId="54" fillId="0" borderId="8" xfId="1" applyFont="1" applyBorder="1" applyAlignment="1">
      <alignment horizontal="center" vertical="center"/>
    </xf>
    <xf numFmtId="0" fontId="85" fillId="37" borderId="23" xfId="1" applyFont="1" applyFill="1" applyBorder="1" applyAlignment="1">
      <alignment horizontal="center" vertical="center"/>
    </xf>
    <xf numFmtId="0" fontId="87" fillId="37" borderId="24" xfId="1" applyFont="1" applyFill="1" applyBorder="1" applyAlignment="1">
      <alignment horizontal="center" vertical="center"/>
    </xf>
    <xf numFmtId="0" fontId="92" fillId="0" borderId="76" xfId="1" applyFont="1" applyBorder="1" applyAlignment="1">
      <alignment horizontal="center" vertical="center"/>
    </xf>
    <xf numFmtId="0" fontId="92" fillId="0" borderId="44" xfId="1" applyFont="1" applyBorder="1" applyAlignment="1">
      <alignment horizontal="center" vertical="center"/>
    </xf>
    <xf numFmtId="0" fontId="92" fillId="0" borderId="77" xfId="1" applyFont="1" applyBorder="1" applyAlignment="1">
      <alignment horizontal="center" vertical="center"/>
    </xf>
  </cellXfs>
  <cellStyles count="14">
    <cellStyle name="01塾長先生" xfId="3" xr:uid="{00000000-0005-0000-0000-000000000000}"/>
    <cellStyle name="02金城先生" xfId="4" xr:uid="{00000000-0005-0000-0000-000001000000}"/>
    <cellStyle name="03鈴木先生" xfId="5" xr:uid="{00000000-0005-0000-0000-000002000000}"/>
    <cellStyle name="04蓮村先生" xfId="6" xr:uid="{00000000-0005-0000-0000-000003000000}"/>
    <cellStyle name="05小笠原先生" xfId="7" xr:uid="{00000000-0005-0000-0000-000004000000}"/>
    <cellStyle name="06文章先生" xfId="8" xr:uid="{00000000-0005-0000-0000-000005000000}"/>
    <cellStyle name="07工藤先生" xfId="9" xr:uid="{00000000-0005-0000-0000-000006000000}"/>
    <cellStyle name="08真下先生" xfId="10" xr:uid="{00000000-0005-0000-0000-000007000000}"/>
    <cellStyle name="09吉田先生" xfId="11" xr:uid="{00000000-0005-0000-0000-000008000000}"/>
    <cellStyle name="10ゲニー先生" xfId="12" xr:uid="{00000000-0005-0000-0000-000009000000}"/>
    <cellStyle name="11朱田先生" xfId="13" xr:uid="{00000000-0005-0000-0000-00000A000000}"/>
    <cellStyle name="20% - アクセント 1" xfId="2" builtinId="30" customBuiltin="1"/>
    <cellStyle name="標準" xfId="0" builtinId="0"/>
    <cellStyle name="標準 2" xfId="1" xr:uid="{00000000-0005-0000-0000-00000D000000}"/>
  </cellStyles>
  <dxfs count="132"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99CC"/>
        </patternFill>
      </fill>
    </dxf>
    <dxf>
      <font>
        <b/>
        <i val="0"/>
        <color theme="1"/>
      </font>
      <fill>
        <patternFill>
          <bgColor rgb="FFCCFFFF"/>
        </patternFill>
      </fill>
    </dxf>
    <dxf>
      <font>
        <b/>
        <i val="0"/>
        <color theme="1"/>
      </font>
      <fill>
        <patternFill>
          <bgColor rgb="FFFFFF99"/>
        </patternFill>
      </fill>
    </dxf>
    <dxf>
      <font>
        <b/>
        <i val="0"/>
        <color theme="1"/>
      </font>
      <fill>
        <patternFill>
          <bgColor rgb="FFF4B084"/>
        </patternFill>
      </fill>
    </dxf>
    <dxf>
      <font>
        <b/>
        <i val="0"/>
        <color theme="1"/>
      </font>
      <fill>
        <patternFill>
          <bgColor rgb="FF99CC00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F0000"/>
      <color rgb="FF0000FF"/>
      <color rgb="FFFFCC99"/>
      <color rgb="FF99CC00"/>
      <color rgb="FFFF99CC"/>
      <color rgb="FFCCECFF"/>
      <color rgb="FF99CCFF"/>
      <color rgb="FFFFCC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264325</xdr:colOff>
      <xdr:row>0</xdr:row>
      <xdr:rowOff>208609</xdr:rowOff>
    </xdr:from>
    <xdr:to>
      <xdr:col>22</xdr:col>
      <xdr:colOff>375162</xdr:colOff>
      <xdr:row>2</xdr:row>
      <xdr:rowOff>356457</xdr:rowOff>
    </xdr:to>
    <xdr:pic>
      <xdr:nvPicPr>
        <xdr:cNvPr id="2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496" y="208609"/>
          <a:ext cx="2777837" cy="7792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415736</xdr:colOff>
      <xdr:row>0</xdr:row>
      <xdr:rowOff>314499</xdr:rowOff>
    </xdr:from>
    <xdr:ext cx="3143250" cy="760911"/>
    <xdr:pic>
      <xdr:nvPicPr>
        <xdr:cNvPr id="3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6171E9BD-3868-4310-B248-5C117022E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81136" y="314499"/>
          <a:ext cx="3143250" cy="7609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372000</xdr:colOff>
      <xdr:row>0</xdr:row>
      <xdr:rowOff>423957</xdr:rowOff>
    </xdr:from>
    <xdr:to>
      <xdr:col>23</xdr:col>
      <xdr:colOff>482837</xdr:colOff>
      <xdr:row>3</xdr:row>
      <xdr:rowOff>99391</xdr:rowOff>
    </xdr:to>
    <xdr:pic>
      <xdr:nvPicPr>
        <xdr:cNvPr id="2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F25FBDF9-C15D-4F59-B6FE-35592923D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08087" y="423957"/>
          <a:ext cx="3051163" cy="901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374323</xdr:colOff>
      <xdr:row>0</xdr:row>
      <xdr:rowOff>405608</xdr:rowOff>
    </xdr:from>
    <xdr:ext cx="3143250" cy="760911"/>
    <xdr:pic>
      <xdr:nvPicPr>
        <xdr:cNvPr id="3" name="Picture 3" descr="C:\Documents and Settings\Owner\デスクトップ\★勉クラのロゴ\01日常使用jpg\ＪＰＧ高品質\ボックス\logo_b_1.jpg">
          <a:extLst>
            <a:ext uri="{FF2B5EF4-FFF2-40B4-BE49-F238E27FC236}">
              <a16:creationId xmlns:a16="http://schemas.microsoft.com/office/drawing/2014/main" id="{ACD92B13-A15B-4290-A4F4-D0552C918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3648" y="405608"/>
          <a:ext cx="3143250" cy="7609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5"/>
  <sheetViews>
    <sheetView showGridLines="0" tabSelected="1" zoomScaleNormal="100" zoomScaleSheetLayoutView="100" workbookViewId="0">
      <selection activeCell="I33" sqref="I33"/>
    </sheetView>
  </sheetViews>
  <sheetFormatPr defaultRowHeight="13.5"/>
  <cols>
    <col min="1" max="2" width="6.75" style="4" customWidth="1"/>
    <col min="3" max="25" width="7.75" style="4" customWidth="1"/>
    <col min="26" max="27" width="4.625" style="4" customWidth="1"/>
    <col min="28" max="29" width="6.625" style="4" customWidth="1"/>
    <col min="30" max="31" width="8.875" style="4"/>
    <col min="32" max="36" width="6.625" style="4" customWidth="1"/>
    <col min="37" max="199" width="8.875" style="4"/>
    <col min="200" max="200" width="4.625" style="4" customWidth="1"/>
    <col min="201" max="201" width="3.625" style="4" customWidth="1"/>
    <col min="202" max="233" width="6.625" style="4" customWidth="1"/>
    <col min="234" max="455" width="8.875" style="4"/>
    <col min="456" max="456" width="4.625" style="4" customWidth="1"/>
    <col min="457" max="457" width="3.625" style="4" customWidth="1"/>
    <col min="458" max="489" width="6.625" style="4" customWidth="1"/>
    <col min="490" max="711" width="8.875" style="4"/>
    <col min="712" max="712" width="4.625" style="4" customWidth="1"/>
    <col min="713" max="713" width="3.625" style="4" customWidth="1"/>
    <col min="714" max="745" width="6.625" style="4" customWidth="1"/>
    <col min="746" max="967" width="8.875" style="4"/>
    <col min="968" max="968" width="4.625" style="4" customWidth="1"/>
    <col min="969" max="969" width="3.625" style="4" customWidth="1"/>
    <col min="970" max="1001" width="6.625" style="4" customWidth="1"/>
    <col min="1002" max="1223" width="8.875" style="4"/>
    <col min="1224" max="1224" width="4.625" style="4" customWidth="1"/>
    <col min="1225" max="1225" width="3.625" style="4" customWidth="1"/>
    <col min="1226" max="1257" width="6.625" style="4" customWidth="1"/>
    <col min="1258" max="1479" width="8.875" style="4"/>
    <col min="1480" max="1480" width="4.625" style="4" customWidth="1"/>
    <col min="1481" max="1481" width="3.625" style="4" customWidth="1"/>
    <col min="1482" max="1513" width="6.625" style="4" customWidth="1"/>
    <col min="1514" max="1735" width="8.875" style="4"/>
    <col min="1736" max="1736" width="4.625" style="4" customWidth="1"/>
    <col min="1737" max="1737" width="3.625" style="4" customWidth="1"/>
    <col min="1738" max="1769" width="6.625" style="4" customWidth="1"/>
    <col min="1770" max="1991" width="8.875" style="4"/>
    <col min="1992" max="1992" width="4.625" style="4" customWidth="1"/>
    <col min="1993" max="1993" width="3.625" style="4" customWidth="1"/>
    <col min="1994" max="2025" width="6.625" style="4" customWidth="1"/>
    <col min="2026" max="2247" width="8.875" style="4"/>
    <col min="2248" max="2248" width="4.625" style="4" customWidth="1"/>
    <col min="2249" max="2249" width="3.625" style="4" customWidth="1"/>
    <col min="2250" max="2281" width="6.625" style="4" customWidth="1"/>
    <col min="2282" max="2503" width="8.875" style="4"/>
    <col min="2504" max="2504" width="4.625" style="4" customWidth="1"/>
    <col min="2505" max="2505" width="3.625" style="4" customWidth="1"/>
    <col min="2506" max="2537" width="6.625" style="4" customWidth="1"/>
    <col min="2538" max="2759" width="8.875" style="4"/>
    <col min="2760" max="2760" width="4.625" style="4" customWidth="1"/>
    <col min="2761" max="2761" width="3.625" style="4" customWidth="1"/>
    <col min="2762" max="2793" width="6.625" style="4" customWidth="1"/>
    <col min="2794" max="3015" width="8.875" style="4"/>
    <col min="3016" max="3016" width="4.625" style="4" customWidth="1"/>
    <col min="3017" max="3017" width="3.625" style="4" customWidth="1"/>
    <col min="3018" max="3049" width="6.625" style="4" customWidth="1"/>
    <col min="3050" max="3271" width="8.875" style="4"/>
    <col min="3272" max="3272" width="4.625" style="4" customWidth="1"/>
    <col min="3273" max="3273" width="3.625" style="4" customWidth="1"/>
    <col min="3274" max="3305" width="6.625" style="4" customWidth="1"/>
    <col min="3306" max="3527" width="8.875" style="4"/>
    <col min="3528" max="3528" width="4.625" style="4" customWidth="1"/>
    <col min="3529" max="3529" width="3.625" style="4" customWidth="1"/>
    <col min="3530" max="3561" width="6.625" style="4" customWidth="1"/>
    <col min="3562" max="3783" width="8.875" style="4"/>
    <col min="3784" max="3784" width="4.625" style="4" customWidth="1"/>
    <col min="3785" max="3785" width="3.625" style="4" customWidth="1"/>
    <col min="3786" max="3817" width="6.625" style="4" customWidth="1"/>
    <col min="3818" max="4039" width="8.875" style="4"/>
    <col min="4040" max="4040" width="4.625" style="4" customWidth="1"/>
    <col min="4041" max="4041" width="3.625" style="4" customWidth="1"/>
    <col min="4042" max="4073" width="6.625" style="4" customWidth="1"/>
    <col min="4074" max="4295" width="8.875" style="4"/>
    <col min="4296" max="4296" width="4.625" style="4" customWidth="1"/>
    <col min="4297" max="4297" width="3.625" style="4" customWidth="1"/>
    <col min="4298" max="4329" width="6.625" style="4" customWidth="1"/>
    <col min="4330" max="4551" width="8.875" style="4"/>
    <col min="4552" max="4552" width="4.625" style="4" customWidth="1"/>
    <col min="4553" max="4553" width="3.625" style="4" customWidth="1"/>
    <col min="4554" max="4585" width="6.625" style="4" customWidth="1"/>
    <col min="4586" max="4807" width="8.875" style="4"/>
    <col min="4808" max="4808" width="4.625" style="4" customWidth="1"/>
    <col min="4809" max="4809" width="3.625" style="4" customWidth="1"/>
    <col min="4810" max="4841" width="6.625" style="4" customWidth="1"/>
    <col min="4842" max="5063" width="8.875" style="4"/>
    <col min="5064" max="5064" width="4.625" style="4" customWidth="1"/>
    <col min="5065" max="5065" width="3.625" style="4" customWidth="1"/>
    <col min="5066" max="5097" width="6.625" style="4" customWidth="1"/>
    <col min="5098" max="5319" width="8.875" style="4"/>
    <col min="5320" max="5320" width="4.625" style="4" customWidth="1"/>
    <col min="5321" max="5321" width="3.625" style="4" customWidth="1"/>
    <col min="5322" max="5353" width="6.625" style="4" customWidth="1"/>
    <col min="5354" max="5575" width="8.875" style="4"/>
    <col min="5576" max="5576" width="4.625" style="4" customWidth="1"/>
    <col min="5577" max="5577" width="3.625" style="4" customWidth="1"/>
    <col min="5578" max="5609" width="6.625" style="4" customWidth="1"/>
    <col min="5610" max="5831" width="8.875" style="4"/>
    <col min="5832" max="5832" width="4.625" style="4" customWidth="1"/>
    <col min="5833" max="5833" width="3.625" style="4" customWidth="1"/>
    <col min="5834" max="5865" width="6.625" style="4" customWidth="1"/>
    <col min="5866" max="6087" width="8.875" style="4"/>
    <col min="6088" max="6088" width="4.625" style="4" customWidth="1"/>
    <col min="6089" max="6089" width="3.625" style="4" customWidth="1"/>
    <col min="6090" max="6121" width="6.625" style="4" customWidth="1"/>
    <col min="6122" max="6343" width="8.875" style="4"/>
    <col min="6344" max="6344" width="4.625" style="4" customWidth="1"/>
    <col min="6345" max="6345" width="3.625" style="4" customWidth="1"/>
    <col min="6346" max="6377" width="6.625" style="4" customWidth="1"/>
    <col min="6378" max="6599" width="8.875" style="4"/>
    <col min="6600" max="6600" width="4.625" style="4" customWidth="1"/>
    <col min="6601" max="6601" width="3.625" style="4" customWidth="1"/>
    <col min="6602" max="6633" width="6.625" style="4" customWidth="1"/>
    <col min="6634" max="6855" width="8.875" style="4"/>
    <col min="6856" max="6856" width="4.625" style="4" customWidth="1"/>
    <col min="6857" max="6857" width="3.625" style="4" customWidth="1"/>
    <col min="6858" max="6889" width="6.625" style="4" customWidth="1"/>
    <col min="6890" max="7111" width="8.875" style="4"/>
    <col min="7112" max="7112" width="4.625" style="4" customWidth="1"/>
    <col min="7113" max="7113" width="3.625" style="4" customWidth="1"/>
    <col min="7114" max="7145" width="6.625" style="4" customWidth="1"/>
    <col min="7146" max="7367" width="8.875" style="4"/>
    <col min="7368" max="7368" width="4.625" style="4" customWidth="1"/>
    <col min="7369" max="7369" width="3.625" style="4" customWidth="1"/>
    <col min="7370" max="7401" width="6.625" style="4" customWidth="1"/>
    <col min="7402" max="7623" width="8.875" style="4"/>
    <col min="7624" max="7624" width="4.625" style="4" customWidth="1"/>
    <col min="7625" max="7625" width="3.625" style="4" customWidth="1"/>
    <col min="7626" max="7657" width="6.625" style="4" customWidth="1"/>
    <col min="7658" max="7879" width="8.875" style="4"/>
    <col min="7880" max="7880" width="4.625" style="4" customWidth="1"/>
    <col min="7881" max="7881" width="3.625" style="4" customWidth="1"/>
    <col min="7882" max="7913" width="6.625" style="4" customWidth="1"/>
    <col min="7914" max="8135" width="8.875" style="4"/>
    <col min="8136" max="8136" width="4.625" style="4" customWidth="1"/>
    <col min="8137" max="8137" width="3.625" style="4" customWidth="1"/>
    <col min="8138" max="8169" width="6.625" style="4" customWidth="1"/>
    <col min="8170" max="8391" width="8.875" style="4"/>
    <col min="8392" max="8392" width="4.625" style="4" customWidth="1"/>
    <col min="8393" max="8393" width="3.625" style="4" customWidth="1"/>
    <col min="8394" max="8425" width="6.625" style="4" customWidth="1"/>
    <col min="8426" max="8647" width="8.875" style="4"/>
    <col min="8648" max="8648" width="4.625" style="4" customWidth="1"/>
    <col min="8649" max="8649" width="3.625" style="4" customWidth="1"/>
    <col min="8650" max="8681" width="6.625" style="4" customWidth="1"/>
    <col min="8682" max="8903" width="8.875" style="4"/>
    <col min="8904" max="8904" width="4.625" style="4" customWidth="1"/>
    <col min="8905" max="8905" width="3.625" style="4" customWidth="1"/>
    <col min="8906" max="8937" width="6.625" style="4" customWidth="1"/>
    <col min="8938" max="9159" width="8.875" style="4"/>
    <col min="9160" max="9160" width="4.625" style="4" customWidth="1"/>
    <col min="9161" max="9161" width="3.625" style="4" customWidth="1"/>
    <col min="9162" max="9193" width="6.625" style="4" customWidth="1"/>
    <col min="9194" max="9415" width="8.875" style="4"/>
    <col min="9416" max="9416" width="4.625" style="4" customWidth="1"/>
    <col min="9417" max="9417" width="3.625" style="4" customWidth="1"/>
    <col min="9418" max="9449" width="6.625" style="4" customWidth="1"/>
    <col min="9450" max="9671" width="8.875" style="4"/>
    <col min="9672" max="9672" width="4.625" style="4" customWidth="1"/>
    <col min="9673" max="9673" width="3.625" style="4" customWidth="1"/>
    <col min="9674" max="9705" width="6.625" style="4" customWidth="1"/>
    <col min="9706" max="9927" width="8.875" style="4"/>
    <col min="9928" max="9928" width="4.625" style="4" customWidth="1"/>
    <col min="9929" max="9929" width="3.625" style="4" customWidth="1"/>
    <col min="9930" max="9961" width="6.625" style="4" customWidth="1"/>
    <col min="9962" max="10183" width="8.875" style="4"/>
    <col min="10184" max="10184" width="4.625" style="4" customWidth="1"/>
    <col min="10185" max="10185" width="3.625" style="4" customWidth="1"/>
    <col min="10186" max="10217" width="6.625" style="4" customWidth="1"/>
    <col min="10218" max="10439" width="8.875" style="4"/>
    <col min="10440" max="10440" width="4.625" style="4" customWidth="1"/>
    <col min="10441" max="10441" width="3.625" style="4" customWidth="1"/>
    <col min="10442" max="10473" width="6.625" style="4" customWidth="1"/>
    <col min="10474" max="10695" width="8.875" style="4"/>
    <col min="10696" max="10696" width="4.625" style="4" customWidth="1"/>
    <col min="10697" max="10697" width="3.625" style="4" customWidth="1"/>
    <col min="10698" max="10729" width="6.625" style="4" customWidth="1"/>
    <col min="10730" max="10951" width="8.875" style="4"/>
    <col min="10952" max="10952" width="4.625" style="4" customWidth="1"/>
    <col min="10953" max="10953" width="3.625" style="4" customWidth="1"/>
    <col min="10954" max="10985" width="6.625" style="4" customWidth="1"/>
    <col min="10986" max="11207" width="8.875" style="4"/>
    <col min="11208" max="11208" width="4.625" style="4" customWidth="1"/>
    <col min="11209" max="11209" width="3.625" style="4" customWidth="1"/>
    <col min="11210" max="11241" width="6.625" style="4" customWidth="1"/>
    <col min="11242" max="11463" width="8.875" style="4"/>
    <col min="11464" max="11464" width="4.625" style="4" customWidth="1"/>
    <col min="11465" max="11465" width="3.625" style="4" customWidth="1"/>
    <col min="11466" max="11497" width="6.625" style="4" customWidth="1"/>
    <col min="11498" max="11719" width="8.875" style="4"/>
    <col min="11720" max="11720" width="4.625" style="4" customWidth="1"/>
    <col min="11721" max="11721" width="3.625" style="4" customWidth="1"/>
    <col min="11722" max="11753" width="6.625" style="4" customWidth="1"/>
    <col min="11754" max="11975" width="8.875" style="4"/>
    <col min="11976" max="11976" width="4.625" style="4" customWidth="1"/>
    <col min="11977" max="11977" width="3.625" style="4" customWidth="1"/>
    <col min="11978" max="12009" width="6.625" style="4" customWidth="1"/>
    <col min="12010" max="12231" width="8.875" style="4"/>
    <col min="12232" max="12232" width="4.625" style="4" customWidth="1"/>
    <col min="12233" max="12233" width="3.625" style="4" customWidth="1"/>
    <col min="12234" max="12265" width="6.625" style="4" customWidth="1"/>
    <col min="12266" max="12487" width="8.875" style="4"/>
    <col min="12488" max="12488" width="4.625" style="4" customWidth="1"/>
    <col min="12489" max="12489" width="3.625" style="4" customWidth="1"/>
    <col min="12490" max="12521" width="6.625" style="4" customWidth="1"/>
    <col min="12522" max="12743" width="8.875" style="4"/>
    <col min="12744" max="12744" width="4.625" style="4" customWidth="1"/>
    <col min="12745" max="12745" width="3.625" style="4" customWidth="1"/>
    <col min="12746" max="12777" width="6.625" style="4" customWidth="1"/>
    <col min="12778" max="12999" width="8.875" style="4"/>
    <col min="13000" max="13000" width="4.625" style="4" customWidth="1"/>
    <col min="13001" max="13001" width="3.625" style="4" customWidth="1"/>
    <col min="13002" max="13033" width="6.625" style="4" customWidth="1"/>
    <col min="13034" max="13255" width="8.875" style="4"/>
    <col min="13256" max="13256" width="4.625" style="4" customWidth="1"/>
    <col min="13257" max="13257" width="3.625" style="4" customWidth="1"/>
    <col min="13258" max="13289" width="6.625" style="4" customWidth="1"/>
    <col min="13290" max="13511" width="8.875" style="4"/>
    <col min="13512" max="13512" width="4.625" style="4" customWidth="1"/>
    <col min="13513" max="13513" width="3.625" style="4" customWidth="1"/>
    <col min="13514" max="13545" width="6.625" style="4" customWidth="1"/>
    <col min="13546" max="13767" width="8.875" style="4"/>
    <col min="13768" max="13768" width="4.625" style="4" customWidth="1"/>
    <col min="13769" max="13769" width="3.625" style="4" customWidth="1"/>
    <col min="13770" max="13801" width="6.625" style="4" customWidth="1"/>
    <col min="13802" max="14023" width="8.875" style="4"/>
    <col min="14024" max="14024" width="4.625" style="4" customWidth="1"/>
    <col min="14025" max="14025" width="3.625" style="4" customWidth="1"/>
    <col min="14026" max="14057" width="6.625" style="4" customWidth="1"/>
    <col min="14058" max="14279" width="8.875" style="4"/>
    <col min="14280" max="14280" width="4.625" style="4" customWidth="1"/>
    <col min="14281" max="14281" width="3.625" style="4" customWidth="1"/>
    <col min="14282" max="14313" width="6.625" style="4" customWidth="1"/>
    <col min="14314" max="14535" width="8.875" style="4"/>
    <col min="14536" max="14536" width="4.625" style="4" customWidth="1"/>
    <col min="14537" max="14537" width="3.625" style="4" customWidth="1"/>
    <col min="14538" max="14569" width="6.625" style="4" customWidth="1"/>
    <col min="14570" max="14791" width="8.875" style="4"/>
    <col min="14792" max="14792" width="4.625" style="4" customWidth="1"/>
    <col min="14793" max="14793" width="3.625" style="4" customWidth="1"/>
    <col min="14794" max="14825" width="6.625" style="4" customWidth="1"/>
    <col min="14826" max="15047" width="8.875" style="4"/>
    <col min="15048" max="15048" width="4.625" style="4" customWidth="1"/>
    <col min="15049" max="15049" width="3.625" style="4" customWidth="1"/>
    <col min="15050" max="15081" width="6.625" style="4" customWidth="1"/>
    <col min="15082" max="15303" width="8.875" style="4"/>
    <col min="15304" max="15304" width="4.625" style="4" customWidth="1"/>
    <col min="15305" max="15305" width="3.625" style="4" customWidth="1"/>
    <col min="15306" max="15337" width="6.625" style="4" customWidth="1"/>
    <col min="15338" max="15559" width="8.875" style="4"/>
    <col min="15560" max="15560" width="4.625" style="4" customWidth="1"/>
    <col min="15561" max="15561" width="3.625" style="4" customWidth="1"/>
    <col min="15562" max="15593" width="6.625" style="4" customWidth="1"/>
    <col min="15594" max="15815" width="8.875" style="4"/>
    <col min="15816" max="15816" width="4.625" style="4" customWidth="1"/>
    <col min="15817" max="15817" width="3.625" style="4" customWidth="1"/>
    <col min="15818" max="15849" width="6.625" style="4" customWidth="1"/>
    <col min="15850" max="16071" width="8.875" style="4"/>
    <col min="16072" max="16072" width="4.625" style="4" customWidth="1"/>
    <col min="16073" max="16073" width="3.625" style="4" customWidth="1"/>
    <col min="16074" max="16105" width="6.625" style="4" customWidth="1"/>
    <col min="16106" max="16327" width="8.875" style="4"/>
    <col min="16328" max="16346" width="8.875" style="4" customWidth="1"/>
    <col min="16347" max="16356" width="8.875" style="4"/>
    <col min="16357" max="16384" width="8.875" style="4" customWidth="1"/>
  </cols>
  <sheetData>
    <row r="1" spans="1:27" ht="30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233</v>
      </c>
      <c r="AA2" s="6"/>
    </row>
    <row r="3" spans="1:27" ht="32.25">
      <c r="A3" s="5"/>
      <c r="D3" s="83" t="s">
        <v>234</v>
      </c>
      <c r="G3" s="84"/>
      <c r="H3" s="84"/>
      <c r="I3" s="84"/>
      <c r="P3" s="7"/>
      <c r="Q3" s="7"/>
      <c r="R3" s="7"/>
      <c r="U3" s="8"/>
      <c r="AA3" s="6"/>
    </row>
    <row r="4" spans="1:27" ht="15" customHeight="1">
      <c r="A4" s="5"/>
      <c r="B4" s="83"/>
      <c r="G4" s="84"/>
      <c r="H4" s="84"/>
      <c r="I4" s="84"/>
      <c r="P4" s="7"/>
      <c r="Q4" s="7"/>
      <c r="R4" s="7"/>
      <c r="U4" s="8"/>
      <c r="AA4" s="6"/>
    </row>
    <row r="5" spans="1:27" s="10" customFormat="1" ht="30" customHeight="1">
      <c r="A5" s="9" t="s">
        <v>0</v>
      </c>
      <c r="G5" s="83" t="s">
        <v>207</v>
      </c>
      <c r="T5" s="11" t="s">
        <v>1</v>
      </c>
      <c r="U5" s="12"/>
      <c r="AA5" s="13"/>
    </row>
    <row r="6" spans="1:27" s="10" customFormat="1" ht="10.15" customHeight="1" thickBot="1">
      <c r="A6" s="9"/>
      <c r="F6" s="83"/>
      <c r="T6" s="11"/>
      <c r="U6" s="12"/>
      <c r="AA6" s="13"/>
    </row>
    <row r="7" spans="1:27" s="10" customFormat="1" ht="30" customHeight="1" thickTop="1" thickBot="1">
      <c r="A7" s="9"/>
      <c r="E7" s="106" t="s">
        <v>178</v>
      </c>
      <c r="F7" s="107"/>
      <c r="G7" s="108" t="s">
        <v>179</v>
      </c>
      <c r="T7" s="11"/>
      <c r="U7" s="12"/>
      <c r="AA7" s="13"/>
    </row>
    <row r="8" spans="1:27" ht="20.25" thickTop="1">
      <c r="A8" s="5"/>
      <c r="L8" s="14"/>
      <c r="M8" s="394"/>
      <c r="N8" s="394"/>
      <c r="U8" s="14"/>
      <c r="Z8" s="47"/>
      <c r="AA8" s="48"/>
    </row>
    <row r="9" spans="1:27" ht="24.95" customHeight="1">
      <c r="A9" s="358" t="s">
        <v>2</v>
      </c>
      <c r="B9" s="359"/>
      <c r="C9" s="362" t="s">
        <v>199</v>
      </c>
      <c r="D9" s="363"/>
      <c r="E9" s="364"/>
      <c r="F9" s="372" t="s">
        <v>172</v>
      </c>
      <c r="G9" s="373"/>
      <c r="H9" s="373"/>
      <c r="I9" s="373"/>
      <c r="J9" s="373"/>
      <c r="K9" s="374"/>
      <c r="L9" s="399" t="s">
        <v>195</v>
      </c>
      <c r="M9" s="400"/>
      <c r="N9" s="400"/>
      <c r="O9" s="400"/>
      <c r="P9" s="400"/>
      <c r="Q9" s="400"/>
      <c r="R9" s="401"/>
      <c r="S9" s="395" t="s">
        <v>195</v>
      </c>
      <c r="T9" s="396"/>
      <c r="U9" s="396"/>
      <c r="V9" s="396"/>
      <c r="W9" s="396"/>
      <c r="X9" s="396"/>
      <c r="Y9" s="397"/>
      <c r="Z9" s="358" t="s">
        <v>2</v>
      </c>
      <c r="AA9" s="359"/>
    </row>
    <row r="10" spans="1:27" ht="24.95" customHeight="1">
      <c r="A10" s="353" t="s">
        <v>4</v>
      </c>
      <c r="B10" s="354"/>
      <c r="C10" s="365"/>
      <c r="D10" s="366"/>
      <c r="E10" s="367"/>
      <c r="F10" s="375" t="s">
        <v>197</v>
      </c>
      <c r="G10" s="376"/>
      <c r="H10" s="376"/>
      <c r="I10" s="376"/>
      <c r="J10" s="376"/>
      <c r="K10" s="377"/>
      <c r="L10" s="402" t="s">
        <v>193</v>
      </c>
      <c r="M10" s="403"/>
      <c r="N10" s="403"/>
      <c r="O10" s="403"/>
      <c r="P10" s="403"/>
      <c r="Q10" s="403"/>
      <c r="R10" s="404"/>
      <c r="S10" s="375" t="s">
        <v>196</v>
      </c>
      <c r="T10" s="376"/>
      <c r="U10" s="376"/>
      <c r="V10" s="376"/>
      <c r="W10" s="376"/>
      <c r="X10" s="376"/>
      <c r="Y10" s="398"/>
      <c r="Z10" s="353" t="s">
        <v>4</v>
      </c>
      <c r="AA10" s="354"/>
    </row>
    <row r="11" spans="1:27" ht="30" customHeight="1">
      <c r="A11" s="360" t="s">
        <v>5</v>
      </c>
      <c r="B11" s="361"/>
      <c r="C11" s="85" t="s">
        <v>6</v>
      </c>
      <c r="D11" s="85" t="s">
        <v>7</v>
      </c>
      <c r="E11" s="86" t="s">
        <v>8</v>
      </c>
      <c r="F11" s="87" t="s">
        <v>6</v>
      </c>
      <c r="G11" s="88" t="s">
        <v>7</v>
      </c>
      <c r="H11" s="85" t="s">
        <v>8</v>
      </c>
      <c r="I11" s="89" t="s">
        <v>9</v>
      </c>
      <c r="J11" s="89" t="s">
        <v>96</v>
      </c>
      <c r="K11" s="89" t="s">
        <v>173</v>
      </c>
      <c r="L11" s="87" t="s">
        <v>10</v>
      </c>
      <c r="M11" s="85" t="s">
        <v>11</v>
      </c>
      <c r="N11" s="85" t="s">
        <v>12</v>
      </c>
      <c r="O11" s="89" t="s">
        <v>13</v>
      </c>
      <c r="P11" s="85" t="s">
        <v>96</v>
      </c>
      <c r="Q11" s="89" t="s">
        <v>173</v>
      </c>
      <c r="R11" s="89" t="s">
        <v>177</v>
      </c>
      <c r="S11" s="87" t="s">
        <v>6</v>
      </c>
      <c r="T11" s="89" t="s">
        <v>7</v>
      </c>
      <c r="U11" s="85" t="s">
        <v>8</v>
      </c>
      <c r="V11" s="88" t="s">
        <v>9</v>
      </c>
      <c r="W11" s="85" t="s">
        <v>96</v>
      </c>
      <c r="X11" s="85" t="s">
        <v>173</v>
      </c>
      <c r="Y11" s="85" t="s">
        <v>177</v>
      </c>
      <c r="Z11" s="360" t="s">
        <v>216</v>
      </c>
      <c r="AA11" s="361"/>
    </row>
    <row r="12" spans="1:27" ht="35.1" customHeight="1" thickBot="1">
      <c r="A12" s="15">
        <v>1</v>
      </c>
      <c r="B12" s="136" t="s">
        <v>95</v>
      </c>
      <c r="C12" s="368" t="s">
        <v>241</v>
      </c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69"/>
      <c r="V12" s="369"/>
      <c r="W12" s="369"/>
      <c r="X12" s="369"/>
      <c r="Y12" s="369"/>
      <c r="Z12" s="15">
        <v>1</v>
      </c>
      <c r="AA12" s="136" t="s">
        <v>95</v>
      </c>
    </row>
    <row r="13" spans="1:27" ht="35.1" customHeight="1" thickTop="1" thickBot="1">
      <c r="A13" s="16">
        <v>2</v>
      </c>
      <c r="B13" s="17" t="s">
        <v>82</v>
      </c>
      <c r="C13" s="370" t="s">
        <v>242</v>
      </c>
      <c r="D13" s="371"/>
      <c r="E13" s="392" t="s">
        <v>294</v>
      </c>
      <c r="F13" s="393"/>
      <c r="G13" s="97" t="s">
        <v>154</v>
      </c>
      <c r="H13" s="180"/>
      <c r="I13" s="166"/>
      <c r="J13" s="71"/>
      <c r="K13" s="177"/>
      <c r="L13" s="97" t="s">
        <v>181</v>
      </c>
      <c r="N13" s="134" t="s">
        <v>48</v>
      </c>
      <c r="O13" s="223" t="s">
        <v>162</v>
      </c>
      <c r="P13" s="71"/>
      <c r="Q13" s="71"/>
      <c r="R13" s="67" t="s">
        <v>146</v>
      </c>
      <c r="S13" s="97" t="s">
        <v>161</v>
      </c>
      <c r="U13" s="71"/>
      <c r="V13" s="223" t="s">
        <v>156</v>
      </c>
      <c r="W13" s="71"/>
      <c r="X13" s="71"/>
      <c r="Y13" s="224" t="s">
        <v>218</v>
      </c>
      <c r="Z13" s="16">
        <v>2</v>
      </c>
      <c r="AA13" s="17" t="s">
        <v>82</v>
      </c>
    </row>
    <row r="14" spans="1:27" ht="35.1" customHeight="1" thickTop="1" thickBot="1">
      <c r="A14" s="16">
        <v>3</v>
      </c>
      <c r="B14" s="17" t="s">
        <v>84</v>
      </c>
      <c r="C14" s="63" t="s">
        <v>245</v>
      </c>
      <c r="D14" s="46"/>
      <c r="E14" s="46"/>
      <c r="F14" s="101" t="s">
        <v>149</v>
      </c>
      <c r="G14" s="115" t="s">
        <v>163</v>
      </c>
      <c r="H14" s="180"/>
      <c r="I14" s="166"/>
      <c r="J14" s="71"/>
      <c r="K14" s="176"/>
      <c r="L14" s="101" t="s">
        <v>222</v>
      </c>
      <c r="M14" s="180"/>
      <c r="N14" s="135" t="s">
        <v>223</v>
      </c>
      <c r="O14" s="169" t="s">
        <v>180</v>
      </c>
      <c r="P14" s="71"/>
      <c r="Q14" s="71"/>
      <c r="R14" s="170"/>
      <c r="S14" s="101" t="s">
        <v>166</v>
      </c>
      <c r="T14" s="179"/>
      <c r="U14" s="135" t="s">
        <v>225</v>
      </c>
      <c r="W14" s="71"/>
      <c r="X14" s="71"/>
      <c r="Y14" s="164"/>
      <c r="Z14" s="16">
        <v>3</v>
      </c>
      <c r="AA14" s="17" t="s">
        <v>84</v>
      </c>
    </row>
    <row r="15" spans="1:27" ht="35.1" customHeight="1" thickTop="1" thickBot="1">
      <c r="A15" s="18">
        <v>4</v>
      </c>
      <c r="B15" s="17" t="s">
        <v>87</v>
      </c>
      <c r="C15" s="55"/>
      <c r="D15" s="46"/>
      <c r="E15" s="46"/>
      <c r="F15" s="130" t="s">
        <v>164</v>
      </c>
      <c r="G15" s="94" t="s">
        <v>201</v>
      </c>
      <c r="H15" s="179"/>
      <c r="I15" s="166"/>
      <c r="J15" s="71"/>
      <c r="K15" s="176"/>
      <c r="L15" s="94" t="s">
        <v>202</v>
      </c>
      <c r="N15" s="237" t="s">
        <v>285</v>
      </c>
      <c r="O15" s="223" t="s">
        <v>73</v>
      </c>
      <c r="P15" s="71"/>
      <c r="Q15" s="71"/>
      <c r="R15" s="170"/>
      <c r="S15" s="225"/>
      <c r="T15" s="94" t="s">
        <v>215</v>
      </c>
      <c r="V15" s="223" t="s">
        <v>160</v>
      </c>
      <c r="W15" s="71"/>
      <c r="X15" s="67" t="s">
        <v>148</v>
      </c>
      <c r="Y15" s="164"/>
      <c r="Z15" s="18">
        <v>4</v>
      </c>
      <c r="AA15" s="17" t="s">
        <v>87</v>
      </c>
    </row>
    <row r="16" spans="1:27" ht="35.1" customHeight="1" thickTop="1" thickBot="1">
      <c r="A16" s="16">
        <v>5</v>
      </c>
      <c r="B16" s="17" t="s">
        <v>88</v>
      </c>
      <c r="C16" s="63"/>
      <c r="D16" s="46"/>
      <c r="E16" s="46"/>
      <c r="F16" s="97" t="s">
        <v>221</v>
      </c>
      <c r="G16" s="131" t="s">
        <v>214</v>
      </c>
      <c r="H16" s="102" t="s">
        <v>204</v>
      </c>
      <c r="I16" s="166"/>
      <c r="J16" s="71"/>
      <c r="K16" s="176"/>
      <c r="L16" s="97" t="s">
        <v>167</v>
      </c>
      <c r="M16" s="124" t="s">
        <v>158</v>
      </c>
      <c r="N16" s="131" t="s">
        <v>185</v>
      </c>
      <c r="O16" s="155" t="s">
        <v>271</v>
      </c>
      <c r="P16" s="71"/>
      <c r="Q16" s="116" t="s">
        <v>224</v>
      </c>
      <c r="R16" s="170"/>
      <c r="S16" s="124" t="s">
        <v>168</v>
      </c>
      <c r="T16" s="131" t="s">
        <v>165</v>
      </c>
      <c r="U16" s="97" t="s">
        <v>145</v>
      </c>
      <c r="W16" s="71"/>
      <c r="X16" s="71"/>
      <c r="Y16" s="164"/>
      <c r="Z16" s="16">
        <v>5</v>
      </c>
      <c r="AA16" s="17" t="s">
        <v>88</v>
      </c>
    </row>
    <row r="17" spans="1:27" ht="35.1" customHeight="1" thickTop="1" thickBot="1">
      <c r="A17" s="19">
        <v>6</v>
      </c>
      <c r="B17" s="17" t="s">
        <v>90</v>
      </c>
      <c r="C17" s="63" t="s">
        <v>246</v>
      </c>
      <c r="D17" s="46"/>
      <c r="E17" s="46"/>
      <c r="F17" s="124" t="s">
        <v>182</v>
      </c>
      <c r="G17" s="102" t="s">
        <v>211</v>
      </c>
      <c r="H17" s="93" t="s">
        <v>89</v>
      </c>
      <c r="I17" s="166"/>
      <c r="J17" s="71"/>
      <c r="K17" s="176"/>
      <c r="L17" s="124" t="s">
        <v>205</v>
      </c>
      <c r="M17" s="93" t="s">
        <v>212</v>
      </c>
      <c r="N17" s="102" t="s">
        <v>153</v>
      </c>
      <c r="O17" s="223" t="s">
        <v>159</v>
      </c>
      <c r="P17" s="71"/>
      <c r="Q17" s="71"/>
      <c r="R17" s="192"/>
      <c r="S17" s="93" t="s">
        <v>176</v>
      </c>
      <c r="T17" s="102" t="s">
        <v>219</v>
      </c>
      <c r="U17" s="240"/>
      <c r="V17" s="166"/>
      <c r="W17" s="71"/>
      <c r="X17" s="71"/>
      <c r="Y17" s="164"/>
      <c r="Z17" s="19">
        <v>6</v>
      </c>
      <c r="AA17" s="17" t="s">
        <v>90</v>
      </c>
    </row>
    <row r="18" spans="1:27" ht="35.1" customHeight="1" thickTop="1" thickBot="1">
      <c r="A18" s="16">
        <v>7</v>
      </c>
      <c r="B18" s="137" t="s">
        <v>94</v>
      </c>
      <c r="C18" s="63" t="s">
        <v>269</v>
      </c>
      <c r="D18" s="46"/>
      <c r="E18" s="46"/>
      <c r="F18" s="227"/>
      <c r="G18" s="93" t="s">
        <v>185</v>
      </c>
      <c r="H18" s="226"/>
      <c r="I18" s="178"/>
      <c r="J18" s="165"/>
      <c r="K18" s="177"/>
      <c r="L18" s="157" t="s">
        <v>270</v>
      </c>
      <c r="M18" s="342" t="s">
        <v>315</v>
      </c>
      <c r="N18" s="343" t="s">
        <v>308</v>
      </c>
      <c r="O18" s="219" t="s">
        <v>285</v>
      </c>
      <c r="P18" s="165"/>
      <c r="Q18" s="165"/>
      <c r="R18" s="172"/>
      <c r="S18" s="101" t="s">
        <v>275</v>
      </c>
      <c r="T18" s="343" t="s">
        <v>307</v>
      </c>
      <c r="U18" s="342" t="s">
        <v>302</v>
      </c>
      <c r="V18" s="46"/>
      <c r="W18" s="165"/>
      <c r="X18" s="165"/>
      <c r="Y18" s="162"/>
      <c r="Z18" s="16">
        <v>7</v>
      </c>
      <c r="AA18" s="137" t="s">
        <v>94</v>
      </c>
    </row>
    <row r="19" spans="1:27" ht="35.1" customHeight="1" thickTop="1" thickBot="1">
      <c r="A19" s="19">
        <v>8</v>
      </c>
      <c r="B19" s="137" t="s">
        <v>95</v>
      </c>
      <c r="C19" s="64"/>
      <c r="D19" s="46"/>
      <c r="E19" s="46"/>
      <c r="F19" s="46"/>
      <c r="G19" s="46"/>
      <c r="H19" s="46"/>
      <c r="I19" s="46"/>
      <c r="J19" s="46"/>
      <c r="K19" s="46"/>
      <c r="L19" s="148"/>
      <c r="M19" s="148"/>
      <c r="N19" s="46"/>
      <c r="O19" s="46"/>
      <c r="P19" s="46"/>
      <c r="Q19" s="46"/>
      <c r="R19" s="46"/>
      <c r="S19" s="148"/>
      <c r="T19" s="148"/>
      <c r="U19" s="46"/>
      <c r="V19" s="46"/>
      <c r="W19" s="46"/>
      <c r="X19" s="46"/>
      <c r="Y19" s="56"/>
      <c r="Z19" s="19">
        <v>8</v>
      </c>
      <c r="AA19" s="137" t="s">
        <v>95</v>
      </c>
    </row>
    <row r="20" spans="1:27" ht="35.1" customHeight="1" thickTop="1" thickBot="1">
      <c r="A20" s="19">
        <v>9</v>
      </c>
      <c r="B20" s="17" t="s">
        <v>82</v>
      </c>
      <c r="C20" s="63" t="s">
        <v>268</v>
      </c>
      <c r="D20" s="46"/>
      <c r="E20" s="46"/>
      <c r="F20" s="133"/>
      <c r="G20" s="97" t="s">
        <v>154</v>
      </c>
      <c r="H20" s="180"/>
      <c r="I20" s="166"/>
      <c r="J20" s="71"/>
      <c r="K20" s="177"/>
      <c r="L20" s="97" t="s">
        <v>181</v>
      </c>
      <c r="N20" s="134" t="s">
        <v>48</v>
      </c>
      <c r="O20" s="219" t="s">
        <v>285</v>
      </c>
      <c r="P20" s="71"/>
      <c r="Q20" s="71"/>
      <c r="R20" s="170"/>
      <c r="S20" s="97" t="s">
        <v>161</v>
      </c>
      <c r="T20" s="115" t="s">
        <v>232</v>
      </c>
      <c r="V20" s="71"/>
      <c r="W20" s="71"/>
      <c r="X20" s="71"/>
      <c r="Y20" s="164"/>
      <c r="Z20" s="19">
        <v>9</v>
      </c>
      <c r="AA20" s="17" t="s">
        <v>82</v>
      </c>
    </row>
    <row r="21" spans="1:27" ht="35.1" customHeight="1" thickTop="1" thickBot="1">
      <c r="A21" s="20">
        <v>10</v>
      </c>
      <c r="B21" s="17" t="s">
        <v>84</v>
      </c>
      <c r="C21" s="63"/>
      <c r="D21" s="46"/>
      <c r="E21" s="46"/>
      <c r="F21" s="101" t="s">
        <v>149</v>
      </c>
      <c r="G21" s="115" t="s">
        <v>163</v>
      </c>
      <c r="H21" s="180"/>
      <c r="I21" s="166"/>
      <c r="J21" s="71"/>
      <c r="K21" s="176"/>
      <c r="L21" s="101" t="s">
        <v>222</v>
      </c>
      <c r="M21" s="179"/>
      <c r="N21" s="135" t="s">
        <v>223</v>
      </c>
      <c r="O21" s="169" t="s">
        <v>180</v>
      </c>
      <c r="P21" s="71"/>
      <c r="Q21" s="71"/>
      <c r="R21" s="170"/>
      <c r="S21" s="101" t="s">
        <v>166</v>
      </c>
      <c r="T21" s="115" t="s">
        <v>167</v>
      </c>
      <c r="U21" s="135" t="s">
        <v>225</v>
      </c>
      <c r="W21" s="71"/>
      <c r="X21" s="71"/>
      <c r="Y21" s="164"/>
      <c r="Z21" s="20">
        <v>10</v>
      </c>
      <c r="AA21" s="17" t="s">
        <v>84</v>
      </c>
    </row>
    <row r="22" spans="1:27" ht="35.1" customHeight="1" thickTop="1" thickBot="1">
      <c r="A22" s="20">
        <v>11</v>
      </c>
      <c r="B22" s="17" t="s">
        <v>87</v>
      </c>
      <c r="C22" s="55"/>
      <c r="D22" s="46"/>
      <c r="E22" s="46"/>
      <c r="F22" s="130" t="s">
        <v>164</v>
      </c>
      <c r="G22" s="94" t="s">
        <v>201</v>
      </c>
      <c r="H22" s="179"/>
      <c r="I22" s="166"/>
      <c r="J22" s="71"/>
      <c r="K22" s="176"/>
      <c r="L22" s="94" t="s">
        <v>202</v>
      </c>
      <c r="M22" s="343" t="s">
        <v>316</v>
      </c>
      <c r="N22" s="157" t="s">
        <v>272</v>
      </c>
      <c r="P22" s="71"/>
      <c r="Q22" s="71"/>
      <c r="R22" s="170"/>
      <c r="S22" s="225"/>
      <c r="T22" s="94" t="s">
        <v>215</v>
      </c>
      <c r="V22" s="223" t="s">
        <v>160</v>
      </c>
      <c r="W22" s="71"/>
      <c r="X22" s="71"/>
      <c r="Y22" s="164"/>
      <c r="Z22" s="20">
        <v>11</v>
      </c>
      <c r="AA22" s="17" t="s">
        <v>87</v>
      </c>
    </row>
    <row r="23" spans="1:27" ht="35.1" customHeight="1" thickTop="1" thickBot="1">
      <c r="A23" s="20">
        <v>12</v>
      </c>
      <c r="B23" s="17" t="s">
        <v>88</v>
      </c>
      <c r="C23" s="63"/>
      <c r="D23" s="46"/>
      <c r="E23" s="46"/>
      <c r="F23" s="97" t="s">
        <v>221</v>
      </c>
      <c r="G23" s="131" t="s">
        <v>214</v>
      </c>
      <c r="H23" s="102" t="s">
        <v>204</v>
      </c>
      <c r="I23" s="166"/>
      <c r="J23" s="71"/>
      <c r="K23" s="176"/>
      <c r="L23" s="97" t="s">
        <v>167</v>
      </c>
      <c r="M23" s="124" t="s">
        <v>158</v>
      </c>
      <c r="N23" s="131" t="s">
        <v>185</v>
      </c>
      <c r="O23" s="228" t="s">
        <v>210</v>
      </c>
      <c r="P23" s="71"/>
      <c r="Q23" s="116" t="s">
        <v>224</v>
      </c>
      <c r="R23" s="170"/>
      <c r="S23" s="124" t="s">
        <v>168</v>
      </c>
      <c r="T23" s="131" t="s">
        <v>165</v>
      </c>
      <c r="U23" s="97" t="s">
        <v>145</v>
      </c>
      <c r="W23" s="71"/>
      <c r="X23" s="71"/>
      <c r="Y23" s="164"/>
      <c r="Z23" s="20">
        <v>12</v>
      </c>
      <c r="AA23" s="17" t="s">
        <v>88</v>
      </c>
    </row>
    <row r="24" spans="1:27" ht="35.1" customHeight="1" thickTop="1" thickBot="1">
      <c r="A24" s="21">
        <v>13</v>
      </c>
      <c r="B24" s="17" t="s">
        <v>90</v>
      </c>
      <c r="C24" s="63" t="s">
        <v>247</v>
      </c>
      <c r="D24" s="46"/>
      <c r="E24" s="46"/>
      <c r="F24" s="124" t="s">
        <v>182</v>
      </c>
      <c r="G24" s="102" t="s">
        <v>211</v>
      </c>
      <c r="H24" s="93" t="s">
        <v>89</v>
      </c>
      <c r="I24" s="166"/>
      <c r="J24" s="71"/>
      <c r="K24" s="176"/>
      <c r="L24" s="124" t="s">
        <v>205</v>
      </c>
      <c r="M24" s="93" t="s">
        <v>212</v>
      </c>
      <c r="N24" s="102" t="s">
        <v>153</v>
      </c>
      <c r="O24" s="223" t="s">
        <v>159</v>
      </c>
      <c r="P24" s="71"/>
      <c r="Q24" s="71"/>
      <c r="R24" s="192"/>
      <c r="S24" s="93" t="s">
        <v>176</v>
      </c>
      <c r="T24" s="102" t="s">
        <v>219</v>
      </c>
      <c r="U24" s="243"/>
      <c r="V24" s="166"/>
      <c r="W24" s="71"/>
      <c r="Y24" s="164"/>
      <c r="Z24" s="21">
        <v>13</v>
      </c>
      <c r="AA24" s="17" t="s">
        <v>90</v>
      </c>
    </row>
    <row r="25" spans="1:27" ht="35.1" customHeight="1" thickTop="1" thickBot="1">
      <c r="A25" s="21">
        <v>14</v>
      </c>
      <c r="B25" s="137" t="s">
        <v>94</v>
      </c>
      <c r="D25" s="71"/>
      <c r="E25" s="229" t="s">
        <v>273</v>
      </c>
      <c r="F25" s="102" t="s">
        <v>176</v>
      </c>
      <c r="G25" s="101" t="s">
        <v>213</v>
      </c>
      <c r="H25" s="226"/>
      <c r="I25" s="178"/>
      <c r="J25" s="165"/>
      <c r="K25" s="177"/>
      <c r="L25" s="102" t="s">
        <v>205</v>
      </c>
      <c r="M25" s="343" t="s">
        <v>317</v>
      </c>
      <c r="N25" s="131" t="s">
        <v>153</v>
      </c>
      <c r="O25" s="236" t="s">
        <v>285</v>
      </c>
      <c r="P25" s="165"/>
      <c r="Q25" s="165"/>
      <c r="R25" s="172"/>
      <c r="S25" s="102" t="s">
        <v>219</v>
      </c>
      <c r="T25" s="241" t="s">
        <v>281</v>
      </c>
      <c r="U25" s="242"/>
      <c r="V25" s="46"/>
      <c r="W25" s="165"/>
      <c r="X25" s="71"/>
      <c r="Y25" s="162"/>
      <c r="Z25" s="21">
        <v>14</v>
      </c>
      <c r="AA25" s="137" t="s">
        <v>94</v>
      </c>
    </row>
    <row r="26" spans="1:27" ht="35.1" customHeight="1" thickTop="1" thickBot="1">
      <c r="A26" s="20">
        <v>15</v>
      </c>
      <c r="B26" s="137" t="s">
        <v>95</v>
      </c>
      <c r="C26" s="143" t="s">
        <v>239</v>
      </c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56"/>
      <c r="Z26" s="20">
        <v>15</v>
      </c>
      <c r="AA26" s="137" t="s">
        <v>95</v>
      </c>
    </row>
    <row r="27" spans="1:27" ht="35.1" customHeight="1" thickTop="1" thickBot="1">
      <c r="A27" s="20">
        <v>16</v>
      </c>
      <c r="B27" s="17" t="s">
        <v>82</v>
      </c>
      <c r="C27" s="63"/>
      <c r="D27" s="46"/>
      <c r="E27" s="46"/>
      <c r="F27" s="133"/>
      <c r="G27" s="97" t="s">
        <v>154</v>
      </c>
      <c r="H27" s="180"/>
      <c r="I27" s="166"/>
      <c r="J27" s="71"/>
      <c r="K27" s="177"/>
      <c r="L27" s="97" t="s">
        <v>181</v>
      </c>
      <c r="N27" s="134" t="s">
        <v>48</v>
      </c>
      <c r="O27" s="74" t="s">
        <v>162</v>
      </c>
      <c r="P27" s="166"/>
      <c r="Q27" s="71"/>
      <c r="R27" s="230" t="s">
        <v>146</v>
      </c>
      <c r="S27" s="97" t="s">
        <v>161</v>
      </c>
      <c r="U27" s="116" t="s">
        <v>186</v>
      </c>
      <c r="V27" s="223" t="s">
        <v>156</v>
      </c>
      <c r="W27" s="71"/>
      <c r="X27" s="71"/>
      <c r="Y27" s="224" t="s">
        <v>218</v>
      </c>
      <c r="Z27" s="20">
        <v>16</v>
      </c>
      <c r="AA27" s="17" t="s">
        <v>82</v>
      </c>
    </row>
    <row r="28" spans="1:27" ht="35.1" customHeight="1" thickTop="1" thickBot="1">
      <c r="A28" s="20">
        <v>17</v>
      </c>
      <c r="B28" s="17" t="s">
        <v>84</v>
      </c>
      <c r="C28" s="55"/>
      <c r="D28" s="46"/>
      <c r="E28" s="46"/>
      <c r="F28" s="101" t="s">
        <v>149</v>
      </c>
      <c r="G28" s="115" t="s">
        <v>163</v>
      </c>
      <c r="H28" s="180"/>
      <c r="I28" s="166"/>
      <c r="J28" s="71"/>
      <c r="K28" s="176"/>
      <c r="L28" s="101" t="s">
        <v>222</v>
      </c>
      <c r="M28" s="344" t="s">
        <v>326</v>
      </c>
      <c r="N28" s="147" t="s">
        <v>223</v>
      </c>
      <c r="O28" s="219" t="s">
        <v>285</v>
      </c>
      <c r="P28" s="71"/>
      <c r="Q28" s="71"/>
      <c r="R28" s="176"/>
      <c r="S28" s="101" t="s">
        <v>166</v>
      </c>
      <c r="T28" s="115" t="s">
        <v>232</v>
      </c>
      <c r="U28" s="135" t="s">
        <v>225</v>
      </c>
      <c r="W28" s="71"/>
      <c r="X28" s="71"/>
      <c r="Y28" s="164"/>
      <c r="Z28" s="20">
        <v>17</v>
      </c>
      <c r="AA28" s="17" t="s">
        <v>84</v>
      </c>
    </row>
    <row r="29" spans="1:27" ht="35.1" customHeight="1" thickTop="1" thickBot="1">
      <c r="A29" s="22">
        <v>18</v>
      </c>
      <c r="B29" s="17" t="s">
        <v>87</v>
      </c>
      <c r="C29" s="63" t="s">
        <v>250</v>
      </c>
      <c r="D29" s="46"/>
      <c r="E29" s="46"/>
      <c r="F29" s="130" t="s">
        <v>164</v>
      </c>
      <c r="G29" s="94" t="s">
        <v>201</v>
      </c>
      <c r="H29" s="179"/>
      <c r="I29" s="166"/>
      <c r="J29" s="71"/>
      <c r="K29" s="176"/>
      <c r="L29" s="101" t="s">
        <v>166</v>
      </c>
      <c r="M29" s="94" t="s">
        <v>202</v>
      </c>
      <c r="N29" s="219" t="s">
        <v>285</v>
      </c>
      <c r="O29" s="74" t="s">
        <v>73</v>
      </c>
      <c r="P29" s="166"/>
      <c r="Q29" s="71"/>
      <c r="R29" s="176"/>
      <c r="S29" s="157" t="s">
        <v>279</v>
      </c>
      <c r="T29" s="94" t="s">
        <v>215</v>
      </c>
      <c r="V29" s="223" t="s">
        <v>160</v>
      </c>
      <c r="W29" s="71"/>
      <c r="X29" s="67" t="s">
        <v>148</v>
      </c>
      <c r="Y29" s="164"/>
      <c r="Z29" s="22">
        <v>18</v>
      </c>
      <c r="AA29" s="17" t="s">
        <v>87</v>
      </c>
    </row>
    <row r="30" spans="1:27" ht="35.1" customHeight="1" thickTop="1" thickBot="1">
      <c r="A30" s="20">
        <v>19</v>
      </c>
      <c r="B30" s="17" t="s">
        <v>88</v>
      </c>
      <c r="C30" s="63" t="s">
        <v>254</v>
      </c>
      <c r="D30" s="46"/>
      <c r="E30" s="46"/>
      <c r="F30" s="97" t="s">
        <v>221</v>
      </c>
      <c r="G30" s="131" t="s">
        <v>214</v>
      </c>
      <c r="H30" s="102" t="s">
        <v>204</v>
      </c>
      <c r="I30" s="166"/>
      <c r="J30" s="71"/>
      <c r="K30" s="176"/>
      <c r="L30" s="97" t="s">
        <v>167</v>
      </c>
      <c r="M30" s="124" t="s">
        <v>158</v>
      </c>
      <c r="N30" s="131" t="s">
        <v>185</v>
      </c>
      <c r="O30" s="155" t="s">
        <v>277</v>
      </c>
      <c r="P30" s="166"/>
      <c r="Q30" s="116" t="s">
        <v>224</v>
      </c>
      <c r="R30" s="176"/>
      <c r="S30" s="124" t="s">
        <v>168</v>
      </c>
      <c r="T30" s="131" t="s">
        <v>165</v>
      </c>
      <c r="U30" s="97" t="s">
        <v>145</v>
      </c>
      <c r="W30" s="71"/>
      <c r="X30" s="71"/>
      <c r="Y30" s="164"/>
      <c r="Z30" s="20">
        <v>19</v>
      </c>
      <c r="AA30" s="17" t="s">
        <v>88</v>
      </c>
    </row>
    <row r="31" spans="1:27" ht="35.1" customHeight="1" thickTop="1" thickBot="1">
      <c r="A31" s="20">
        <v>20</v>
      </c>
      <c r="B31" s="145" t="s">
        <v>90</v>
      </c>
      <c r="C31" s="102" t="s">
        <v>158</v>
      </c>
      <c r="D31" s="93" t="s">
        <v>168</v>
      </c>
      <c r="E31" s="46"/>
      <c r="F31" s="124" t="s">
        <v>182</v>
      </c>
      <c r="G31" s="102" t="s">
        <v>211</v>
      </c>
      <c r="H31" s="93" t="s">
        <v>89</v>
      </c>
      <c r="I31" s="166"/>
      <c r="J31" s="71"/>
      <c r="K31" s="176"/>
      <c r="L31" s="124" t="s">
        <v>205</v>
      </c>
      <c r="M31" s="93" t="s">
        <v>212</v>
      </c>
      <c r="N31" s="102" t="s">
        <v>153</v>
      </c>
      <c r="O31" s="74" t="s">
        <v>159</v>
      </c>
      <c r="P31" s="166"/>
      <c r="Q31" s="165"/>
      <c r="R31" s="231"/>
      <c r="S31" s="93" t="s">
        <v>176</v>
      </c>
      <c r="T31" s="102" t="s">
        <v>219</v>
      </c>
      <c r="U31" s="243"/>
      <c r="V31" s="166"/>
      <c r="W31" s="71"/>
      <c r="X31" s="153" t="s">
        <v>266</v>
      </c>
      <c r="Y31" s="164"/>
      <c r="Z31" s="20">
        <v>20</v>
      </c>
      <c r="AA31" s="145" t="s">
        <v>90</v>
      </c>
    </row>
    <row r="32" spans="1:27" ht="35.1" customHeight="1" thickTop="1">
      <c r="A32" s="21">
        <v>21</v>
      </c>
      <c r="B32" s="137" t="s">
        <v>94</v>
      </c>
      <c r="C32" s="62" t="s">
        <v>238</v>
      </c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56"/>
      <c r="Z32" s="21">
        <v>21</v>
      </c>
      <c r="AA32" s="137" t="s">
        <v>94</v>
      </c>
    </row>
    <row r="33" spans="1:27" ht="35.1" customHeight="1" thickBot="1">
      <c r="A33" s="20">
        <v>22</v>
      </c>
      <c r="B33" s="137" t="s">
        <v>95</v>
      </c>
      <c r="C33" s="63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56"/>
      <c r="Z33" s="20">
        <v>22</v>
      </c>
      <c r="AA33" s="137" t="s">
        <v>95</v>
      </c>
    </row>
    <row r="34" spans="1:27" ht="35.1" customHeight="1" thickTop="1" thickBot="1">
      <c r="A34" s="20">
        <v>23</v>
      </c>
      <c r="B34" s="17" t="s">
        <v>82</v>
      </c>
      <c r="C34" s="55"/>
      <c r="D34" s="46"/>
      <c r="E34" s="46"/>
      <c r="F34" s="133"/>
      <c r="G34" s="97" t="s">
        <v>154</v>
      </c>
      <c r="H34" s="180"/>
      <c r="I34" s="166"/>
      <c r="J34" s="71"/>
      <c r="K34" s="123" t="s">
        <v>175</v>
      </c>
      <c r="L34" s="97" t="s">
        <v>181</v>
      </c>
      <c r="M34" s="344" t="s">
        <v>324</v>
      </c>
      <c r="O34" s="223" t="s">
        <v>162</v>
      </c>
      <c r="P34" s="71"/>
      <c r="Q34" s="71"/>
      <c r="R34" s="230" t="s">
        <v>146</v>
      </c>
      <c r="S34" s="97" t="s">
        <v>161</v>
      </c>
      <c r="U34" s="152" t="s">
        <v>314</v>
      </c>
      <c r="V34" s="223" t="s">
        <v>156</v>
      </c>
      <c r="W34" s="71"/>
      <c r="X34" s="71"/>
      <c r="Y34" s="224" t="s">
        <v>218</v>
      </c>
      <c r="Z34" s="20">
        <v>23</v>
      </c>
      <c r="AA34" s="17" t="s">
        <v>82</v>
      </c>
    </row>
    <row r="35" spans="1:27" ht="35.1" customHeight="1" thickTop="1" thickBot="1">
      <c r="A35" s="20">
        <v>24</v>
      </c>
      <c r="B35" s="17" t="s">
        <v>84</v>
      </c>
      <c r="C35" s="146" t="s">
        <v>255</v>
      </c>
      <c r="D35" s="46"/>
      <c r="E35" s="46"/>
      <c r="F35" s="101" t="s">
        <v>149</v>
      </c>
      <c r="G35" s="115" t="s">
        <v>163</v>
      </c>
      <c r="H35" s="180"/>
      <c r="I35" s="166"/>
      <c r="J35" s="71"/>
      <c r="K35" s="176"/>
      <c r="L35" s="101" t="s">
        <v>222</v>
      </c>
      <c r="M35" s="94" t="s">
        <v>215</v>
      </c>
      <c r="N35" s="154" t="s">
        <v>278</v>
      </c>
      <c r="P35" s="71"/>
      <c r="Q35" s="71"/>
      <c r="R35" s="176"/>
      <c r="S35" s="101" t="s">
        <v>166</v>
      </c>
      <c r="T35" s="345" t="s">
        <v>328</v>
      </c>
      <c r="U35" s="71"/>
      <c r="W35" s="71"/>
      <c r="X35" s="71"/>
      <c r="Y35" s="164"/>
      <c r="Z35" s="20">
        <v>24</v>
      </c>
      <c r="AA35" s="17" t="s">
        <v>84</v>
      </c>
    </row>
    <row r="36" spans="1:27" ht="35.1" customHeight="1" thickTop="1" thickBot="1">
      <c r="A36" s="22">
        <v>25</v>
      </c>
      <c r="B36" s="17" t="s">
        <v>87</v>
      </c>
      <c r="C36" s="63" t="s">
        <v>249</v>
      </c>
      <c r="D36" s="46"/>
      <c r="E36" s="46"/>
      <c r="F36" s="130" t="s">
        <v>164</v>
      </c>
      <c r="G36" s="94" t="s">
        <v>201</v>
      </c>
      <c r="H36" s="179"/>
      <c r="I36" s="166"/>
      <c r="J36" s="71"/>
      <c r="K36" s="176"/>
      <c r="L36" s="94" t="s">
        <v>202</v>
      </c>
      <c r="M36" s="101" t="s">
        <v>161</v>
      </c>
      <c r="O36" s="223" t="s">
        <v>73</v>
      </c>
      <c r="P36" s="71"/>
      <c r="Q36" s="71"/>
      <c r="R36" s="176"/>
      <c r="S36" s="94" t="s">
        <v>215</v>
      </c>
      <c r="U36" s="71"/>
      <c r="V36" s="223" t="s">
        <v>160</v>
      </c>
      <c r="W36" s="71"/>
      <c r="X36" s="67" t="s">
        <v>148</v>
      </c>
      <c r="Y36" s="164"/>
      <c r="Z36" s="22">
        <v>25</v>
      </c>
      <c r="AA36" s="17" t="s">
        <v>87</v>
      </c>
    </row>
    <row r="37" spans="1:27" ht="35.1" customHeight="1" thickTop="1" thickBot="1">
      <c r="A37" s="20">
        <v>26</v>
      </c>
      <c r="B37" s="17" t="s">
        <v>88</v>
      </c>
      <c r="C37" s="102" t="s">
        <v>158</v>
      </c>
      <c r="D37" s="390" t="s">
        <v>292</v>
      </c>
      <c r="E37" s="391"/>
      <c r="F37" s="97" t="s">
        <v>221</v>
      </c>
      <c r="G37" s="131" t="s">
        <v>214</v>
      </c>
      <c r="H37" s="102" t="s">
        <v>204</v>
      </c>
      <c r="I37" s="166"/>
      <c r="J37" s="246" t="s">
        <v>251</v>
      </c>
      <c r="K37" s="176"/>
      <c r="L37" s="97" t="s">
        <v>167</v>
      </c>
      <c r="M37" s="124" t="s">
        <v>212</v>
      </c>
      <c r="N37" s="131" t="s">
        <v>185</v>
      </c>
      <c r="O37" s="219" t="s">
        <v>310</v>
      </c>
      <c r="P37" s="71"/>
      <c r="Q37" s="71"/>
      <c r="R37" s="176"/>
      <c r="S37" s="124" t="s">
        <v>168</v>
      </c>
      <c r="T37" s="131" t="s">
        <v>165</v>
      </c>
      <c r="U37" s="97" t="s">
        <v>145</v>
      </c>
      <c r="V37" s="155" t="s">
        <v>282</v>
      </c>
      <c r="X37" s="153" t="s">
        <v>267</v>
      </c>
      <c r="Y37" s="164"/>
      <c r="Z37" s="20">
        <v>26</v>
      </c>
      <c r="AA37" s="17" t="s">
        <v>88</v>
      </c>
    </row>
    <row r="38" spans="1:27" ht="35.1" customHeight="1" thickTop="1" thickBot="1">
      <c r="A38" s="160">
        <v>27</v>
      </c>
      <c r="B38" s="213" t="s">
        <v>90</v>
      </c>
      <c r="C38" s="102" t="s">
        <v>165</v>
      </c>
      <c r="D38" s="202"/>
      <c r="E38" s="330"/>
      <c r="F38" s="124" t="s">
        <v>182</v>
      </c>
      <c r="G38" s="102" t="s">
        <v>211</v>
      </c>
      <c r="H38" s="93" t="s">
        <v>89</v>
      </c>
      <c r="I38" s="331" t="s">
        <v>170</v>
      </c>
      <c r="J38" s="200"/>
      <c r="K38" s="198"/>
      <c r="L38" s="124" t="s">
        <v>205</v>
      </c>
      <c r="M38" s="93" t="s">
        <v>212</v>
      </c>
      <c r="N38" s="102" t="s">
        <v>153</v>
      </c>
      <c r="O38" s="331" t="s">
        <v>159</v>
      </c>
      <c r="P38" s="200"/>
      <c r="Q38" s="200"/>
      <c r="R38" s="332"/>
      <c r="S38" s="93" t="s">
        <v>176</v>
      </c>
      <c r="T38" s="102" t="s">
        <v>219</v>
      </c>
      <c r="U38" s="124" t="s">
        <v>168</v>
      </c>
      <c r="W38" s="200"/>
      <c r="X38" s="200"/>
      <c r="Y38" s="203"/>
      <c r="Z38" s="160">
        <v>27</v>
      </c>
      <c r="AA38" s="213" t="s">
        <v>90</v>
      </c>
    </row>
    <row r="39" spans="1:27" ht="35.1" customHeight="1" thickTop="1" thickBot="1">
      <c r="A39" s="349">
        <v>28</v>
      </c>
      <c r="B39" s="351" t="s">
        <v>94</v>
      </c>
      <c r="C39" s="142" t="s">
        <v>287</v>
      </c>
      <c r="D39" s="197"/>
      <c r="E39" s="197"/>
      <c r="F39" s="46"/>
      <c r="G39" s="46"/>
      <c r="H39" s="46"/>
      <c r="I39" s="197"/>
      <c r="J39" s="197"/>
      <c r="K39" s="197"/>
      <c r="L39" s="46"/>
      <c r="M39" s="46"/>
      <c r="N39" s="46"/>
      <c r="O39" s="197"/>
      <c r="P39" s="197"/>
      <c r="Q39" s="197"/>
      <c r="R39" s="197"/>
      <c r="S39" s="46"/>
      <c r="T39" s="46"/>
      <c r="U39" s="46"/>
      <c r="V39" s="197"/>
      <c r="W39" s="197"/>
      <c r="X39" s="197"/>
      <c r="Y39" s="204"/>
      <c r="Z39" s="349">
        <v>28</v>
      </c>
      <c r="AA39" s="351" t="s">
        <v>94</v>
      </c>
    </row>
    <row r="40" spans="1:27" ht="35.1" customHeight="1" thickTop="1" thickBot="1">
      <c r="A40" s="350"/>
      <c r="B40" s="352"/>
      <c r="C40" s="325" t="s">
        <v>290</v>
      </c>
      <c r="D40" s="102" t="s">
        <v>219</v>
      </c>
      <c r="E40" s="205"/>
      <c r="F40" s="326" t="s">
        <v>290</v>
      </c>
      <c r="G40" s="208"/>
      <c r="H40" s="208"/>
      <c r="I40" s="208" t="s">
        <v>300</v>
      </c>
      <c r="J40" s="208"/>
      <c r="K40" s="327"/>
      <c r="L40" s="326" t="s">
        <v>290</v>
      </c>
      <c r="M40" s="208"/>
      <c r="N40" s="208"/>
      <c r="O40" s="328" t="s">
        <v>285</v>
      </c>
      <c r="P40" s="208"/>
      <c r="Q40" s="208"/>
      <c r="R40" s="327"/>
      <c r="S40" s="329"/>
      <c r="T40" s="102" t="s">
        <v>176</v>
      </c>
      <c r="U40" s="207"/>
      <c r="V40" s="208"/>
      <c r="W40" s="208"/>
      <c r="X40" s="211" t="s">
        <v>313</v>
      </c>
      <c r="Y40" s="210"/>
      <c r="Z40" s="350"/>
      <c r="AA40" s="352"/>
    </row>
    <row r="41" spans="1:27" ht="35.1" customHeight="1" thickTop="1" thickBot="1">
      <c r="A41" s="193">
        <v>29</v>
      </c>
      <c r="B41" s="161" t="s">
        <v>95</v>
      </c>
      <c r="C41" s="324"/>
      <c r="D41" s="46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46"/>
      <c r="U41" s="148"/>
      <c r="V41" s="148"/>
      <c r="W41" s="148"/>
      <c r="X41" s="148"/>
      <c r="Y41" s="209"/>
      <c r="Z41" s="193">
        <v>29</v>
      </c>
      <c r="AA41" s="161" t="s">
        <v>95</v>
      </c>
    </row>
    <row r="42" spans="1:27" ht="35.1" customHeight="1" thickTop="1" thickBot="1">
      <c r="A42" s="22">
        <v>30</v>
      </c>
      <c r="B42" s="17" t="s">
        <v>82</v>
      </c>
      <c r="C42" s="63" t="s">
        <v>256</v>
      </c>
      <c r="D42" s="46"/>
      <c r="E42" s="46"/>
      <c r="F42" s="233"/>
      <c r="G42" s="200"/>
      <c r="H42" s="200"/>
      <c r="I42" s="74" t="s">
        <v>174</v>
      </c>
      <c r="J42" s="200"/>
      <c r="L42" s="97" t="s">
        <v>181</v>
      </c>
      <c r="M42" s="115" t="s">
        <v>222</v>
      </c>
      <c r="N42" s="219" t="s">
        <v>285</v>
      </c>
      <c r="O42" s="74" t="s">
        <v>162</v>
      </c>
      <c r="P42" s="71"/>
      <c r="Q42" s="71"/>
      <c r="R42" s="230" t="s">
        <v>146</v>
      </c>
      <c r="S42" s="97" t="s">
        <v>161</v>
      </c>
      <c r="U42" s="152" t="s">
        <v>311</v>
      </c>
      <c r="V42" s="74" t="s">
        <v>156</v>
      </c>
      <c r="W42" s="71"/>
      <c r="X42" s="71"/>
      <c r="Y42" s="224" t="s">
        <v>218</v>
      </c>
      <c r="Z42" s="22">
        <v>30</v>
      </c>
      <c r="AA42" s="17" t="s">
        <v>82</v>
      </c>
    </row>
    <row r="43" spans="1:27" ht="35.1" customHeight="1" thickTop="1" thickBot="1">
      <c r="A43" s="22">
        <v>31</v>
      </c>
      <c r="B43" s="92" t="s">
        <v>84</v>
      </c>
      <c r="C43" s="63" t="s">
        <v>257</v>
      </c>
      <c r="D43" s="46"/>
      <c r="E43" s="46"/>
      <c r="F43" s="235"/>
      <c r="G43" s="214"/>
      <c r="H43" s="214"/>
      <c r="I43" s="234"/>
      <c r="J43" s="214"/>
      <c r="K43" s="74" t="s">
        <v>169</v>
      </c>
      <c r="L43" s="101" t="s">
        <v>222</v>
      </c>
      <c r="M43" s="345" t="s">
        <v>327</v>
      </c>
      <c r="N43" s="207"/>
      <c r="O43" s="116" t="s">
        <v>180</v>
      </c>
      <c r="P43" s="214"/>
      <c r="Q43" s="214"/>
      <c r="R43" s="217"/>
      <c r="S43" s="101" t="s">
        <v>166</v>
      </c>
      <c r="T43" s="94" t="s">
        <v>231</v>
      </c>
      <c r="U43" s="158" t="s">
        <v>312</v>
      </c>
      <c r="V43" s="214"/>
      <c r="W43" s="214"/>
      <c r="X43" s="214"/>
      <c r="Y43" s="232"/>
      <c r="Z43" s="22">
        <v>31</v>
      </c>
      <c r="AA43" s="92" t="s">
        <v>84</v>
      </c>
    </row>
    <row r="44" spans="1:27" ht="30" customHeight="1" thickTop="1">
      <c r="A44" s="360" t="s">
        <v>5</v>
      </c>
      <c r="B44" s="361"/>
      <c r="C44" s="85" t="s">
        <v>6</v>
      </c>
      <c r="D44" s="85" t="s">
        <v>7</v>
      </c>
      <c r="E44" s="86" t="s">
        <v>8</v>
      </c>
      <c r="F44" s="87" t="s">
        <v>6</v>
      </c>
      <c r="G44" s="88" t="s">
        <v>7</v>
      </c>
      <c r="H44" s="85" t="s">
        <v>8</v>
      </c>
      <c r="I44" s="89" t="s">
        <v>9</v>
      </c>
      <c r="J44" s="89" t="s">
        <v>96</v>
      </c>
      <c r="K44" s="89" t="s">
        <v>173</v>
      </c>
      <c r="L44" s="87" t="s">
        <v>6</v>
      </c>
      <c r="M44" s="85" t="s">
        <v>7</v>
      </c>
      <c r="N44" s="85" t="s">
        <v>8</v>
      </c>
      <c r="O44" s="89" t="s">
        <v>9</v>
      </c>
      <c r="P44" s="85" t="s">
        <v>96</v>
      </c>
      <c r="Q44" s="89" t="s">
        <v>173</v>
      </c>
      <c r="R44" s="89" t="s">
        <v>177</v>
      </c>
      <c r="S44" s="87" t="s">
        <v>6</v>
      </c>
      <c r="T44" s="89" t="s">
        <v>7</v>
      </c>
      <c r="U44" s="85" t="s">
        <v>8</v>
      </c>
      <c r="V44" s="88" t="s">
        <v>9</v>
      </c>
      <c r="W44" s="85" t="s">
        <v>96</v>
      </c>
      <c r="X44" s="85" t="s">
        <v>206</v>
      </c>
      <c r="Y44" s="85" t="s">
        <v>177</v>
      </c>
      <c r="Z44" s="360" t="s">
        <v>216</v>
      </c>
      <c r="AA44" s="361"/>
    </row>
    <row r="45" spans="1:27" ht="24.95" customHeight="1">
      <c r="A45" s="358" t="s">
        <v>2</v>
      </c>
      <c r="B45" s="359"/>
      <c r="C45" s="362" t="s">
        <v>199</v>
      </c>
      <c r="D45" s="363"/>
      <c r="E45" s="364"/>
      <c r="F45" s="372" t="s">
        <v>172</v>
      </c>
      <c r="G45" s="373"/>
      <c r="H45" s="373"/>
      <c r="I45" s="373"/>
      <c r="J45" s="373"/>
      <c r="K45" s="374"/>
      <c r="L45" s="384" t="s">
        <v>194</v>
      </c>
      <c r="M45" s="385"/>
      <c r="N45" s="385"/>
      <c r="O45" s="385"/>
      <c r="P45" s="385"/>
      <c r="Q45" s="385"/>
      <c r="R45" s="386"/>
      <c r="S45" s="378" t="s">
        <v>198</v>
      </c>
      <c r="T45" s="379"/>
      <c r="U45" s="379"/>
      <c r="V45" s="379"/>
      <c r="W45" s="379"/>
      <c r="X45" s="379"/>
      <c r="Y45" s="380"/>
      <c r="Z45" s="358" t="s">
        <v>2</v>
      </c>
      <c r="AA45" s="359"/>
    </row>
    <row r="46" spans="1:27" ht="24.95" customHeight="1">
      <c r="A46" s="353" t="s">
        <v>4</v>
      </c>
      <c r="B46" s="354"/>
      <c r="C46" s="365"/>
      <c r="D46" s="366"/>
      <c r="E46" s="367"/>
      <c r="F46" s="375" t="s">
        <v>197</v>
      </c>
      <c r="G46" s="376"/>
      <c r="H46" s="376"/>
      <c r="I46" s="376"/>
      <c r="J46" s="376"/>
      <c r="K46" s="377"/>
      <c r="L46" s="387"/>
      <c r="M46" s="388"/>
      <c r="N46" s="388"/>
      <c r="O46" s="388"/>
      <c r="P46" s="388"/>
      <c r="Q46" s="388"/>
      <c r="R46" s="389"/>
      <c r="S46" s="381"/>
      <c r="T46" s="382"/>
      <c r="U46" s="382"/>
      <c r="V46" s="382"/>
      <c r="W46" s="382"/>
      <c r="X46" s="382"/>
      <c r="Y46" s="383"/>
      <c r="Z46" s="353" t="s">
        <v>4</v>
      </c>
      <c r="AA46" s="354"/>
    </row>
    <row r="47" spans="1:27" ht="21.95" customHeight="1">
      <c r="A47" s="138" t="s">
        <v>243</v>
      </c>
      <c r="B47" s="23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"/>
      <c r="AA47" s="3"/>
    </row>
    <row r="48" spans="1:27" ht="21.95" customHeight="1">
      <c r="A48" s="139" t="s">
        <v>244</v>
      </c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AA48" s="6"/>
    </row>
    <row r="49" spans="1:27" ht="21.95" customHeight="1">
      <c r="A49" s="140" t="s">
        <v>236</v>
      </c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AA49" s="6"/>
    </row>
    <row r="50" spans="1:27" ht="21.95" customHeight="1">
      <c r="A50" s="141" t="s">
        <v>237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AA50" s="6"/>
    </row>
    <row r="51" spans="1:27" ht="21.95" customHeight="1">
      <c r="A51" s="138" t="s">
        <v>286</v>
      </c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AA51" s="6"/>
    </row>
    <row r="52" spans="1:27" ht="21.95" customHeight="1">
      <c r="A52" s="355" t="s">
        <v>187</v>
      </c>
      <c r="B52" s="356"/>
      <c r="C52" s="356"/>
      <c r="D52" s="356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56"/>
      <c r="Y52" s="356"/>
      <c r="Z52" s="356"/>
      <c r="AA52" s="357"/>
    </row>
    <row r="53" spans="1:27" ht="21.95" customHeight="1">
      <c r="A53" s="112" t="s">
        <v>188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AA53" s="6"/>
    </row>
    <row r="54" spans="1:27" ht="21.95" customHeight="1">
      <c r="A54" s="112" t="s">
        <v>189</v>
      </c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AA54" s="6"/>
    </row>
    <row r="55" spans="1:27" ht="21.95" customHeight="1" thickBot="1">
      <c r="A55" s="11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AA55" s="6"/>
    </row>
    <row r="56" spans="1:27" ht="30" customHeight="1" thickBot="1">
      <c r="A56" s="112"/>
      <c r="B56" s="24"/>
      <c r="C56" s="24"/>
      <c r="D56" s="346" t="s">
        <v>240</v>
      </c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8"/>
      <c r="W56" s="24"/>
      <c r="X56" s="24"/>
      <c r="Y56" s="24"/>
      <c r="AA56" s="6"/>
    </row>
    <row r="57" spans="1:27" ht="9.9499999999999993" customHeight="1">
      <c r="A57" s="25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47"/>
      <c r="AA57" s="48"/>
    </row>
    <row r="58" spans="1:27" ht="12.95" customHeight="1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8"/>
      <c r="V58" s="28"/>
      <c r="W58" s="28"/>
      <c r="X58" s="28"/>
      <c r="Y58" s="28"/>
    </row>
    <row r="59" spans="1:27" ht="17.100000000000001" customHeight="1">
      <c r="I59" s="113" t="s">
        <v>171</v>
      </c>
      <c r="J59" s="128" t="s">
        <v>14</v>
      </c>
      <c r="K59" s="117" t="s">
        <v>184</v>
      </c>
      <c r="L59" s="126" t="s">
        <v>123</v>
      </c>
      <c r="M59" s="127" t="s">
        <v>144</v>
      </c>
      <c r="N59" s="129" t="s">
        <v>15</v>
      </c>
      <c r="O59" s="111" t="s">
        <v>192</v>
      </c>
      <c r="P59" s="144" t="s">
        <v>217</v>
      </c>
      <c r="Q59" s="132" t="s">
        <v>235</v>
      </c>
      <c r="T59" s="28"/>
      <c r="V59" s="28"/>
      <c r="W59" s="28"/>
      <c r="X59" s="28"/>
    </row>
    <row r="60" spans="1:27" ht="24" customHeight="1">
      <c r="I60" s="31">
        <v>29</v>
      </c>
      <c r="J60" s="31">
        <v>29</v>
      </c>
      <c r="K60" s="110">
        <v>21</v>
      </c>
      <c r="L60" s="31">
        <v>16</v>
      </c>
      <c r="M60" s="31">
        <v>21</v>
      </c>
      <c r="N60" s="31">
        <v>26</v>
      </c>
      <c r="O60" s="31">
        <v>22</v>
      </c>
      <c r="P60" s="110">
        <v>17</v>
      </c>
      <c r="Q60" s="110">
        <v>14</v>
      </c>
      <c r="T60" s="28"/>
      <c r="V60" s="28"/>
      <c r="W60" s="28"/>
      <c r="X60" s="28"/>
    </row>
    <row r="61" spans="1:27" ht="17.100000000000001" customHeight="1">
      <c r="I61" s="4">
        <f t="shared" ref="I61:J61" ca="1" si="0">CountByBackgroundColor($C$12:$Y$43,I63)</f>
        <v>30</v>
      </c>
      <c r="J61" s="4">
        <f t="shared" ca="1" si="0"/>
        <v>29</v>
      </c>
      <c r="K61" s="4">
        <f t="shared" ref="K61:M61" ca="1" si="1">CountByBackgroundColor($C$12:$Y$43,K63)</f>
        <v>24</v>
      </c>
      <c r="L61" s="4">
        <f t="shared" ca="1" si="1"/>
        <v>27</v>
      </c>
      <c r="M61" s="4">
        <f t="shared" ca="1" si="1"/>
        <v>24</v>
      </c>
      <c r="N61" s="4">
        <f t="shared" ref="N61:O61" ca="1" si="2">CountByBackgroundColor($C$12:$Y$43,N63)</f>
        <v>26</v>
      </c>
      <c r="O61" s="4">
        <f t="shared" ca="1" si="2"/>
        <v>22</v>
      </c>
      <c r="P61" s="4">
        <f t="shared" ref="P61" ca="1" si="3">CountByBackgroundColor($C$12:$Y$43,P63)</f>
        <v>17</v>
      </c>
      <c r="Q61" s="4">
        <f t="shared" ref="Q61" ca="1" si="4">CountByBackgroundColor($C$12:$Y$43,Q63)</f>
        <v>14</v>
      </c>
      <c r="R61" s="28"/>
      <c r="S61" s="28"/>
      <c r="T61" s="28"/>
      <c r="U61" s="28"/>
      <c r="V61" s="28"/>
      <c r="W61" s="28"/>
      <c r="X61" s="28"/>
      <c r="Y61" s="28"/>
    </row>
    <row r="62" spans="1:27" ht="17.100000000000001" customHeight="1">
      <c r="C62" s="32"/>
      <c r="K62" s="27"/>
      <c r="N62" s="27"/>
      <c r="P62" s="33"/>
      <c r="R62" s="28"/>
      <c r="S62" s="28"/>
      <c r="T62" s="28"/>
      <c r="U62" s="28"/>
      <c r="V62" s="28"/>
    </row>
    <row r="63" spans="1:27" ht="17.100000000000001" customHeight="1">
      <c r="A63" s="27"/>
      <c r="B63" s="27"/>
      <c r="C63" s="27"/>
      <c r="D63" s="27"/>
      <c r="E63" s="27"/>
      <c r="F63" s="27"/>
      <c r="G63" s="27"/>
      <c r="H63" s="27"/>
      <c r="I63" s="53">
        <f ca="1">CellColor(I59)</f>
        <v>8388736</v>
      </c>
      <c r="J63" s="53">
        <f t="shared" ref="J63" ca="1" si="5">CellColor(J59)</f>
        <v>52377</v>
      </c>
      <c r="K63" s="53">
        <f t="shared" ref="K63:M63" ca="1" si="6">CellColor(K59)</f>
        <v>10079487</v>
      </c>
      <c r="L63" s="53">
        <f t="shared" ca="1" si="6"/>
        <v>13408767</v>
      </c>
      <c r="M63" s="53">
        <f t="shared" ca="1" si="6"/>
        <v>65535</v>
      </c>
      <c r="N63" s="53">
        <f t="shared" ref="N63:O63" ca="1" si="7">CellColor(N59)</f>
        <v>16777164</v>
      </c>
      <c r="O63" s="53">
        <f t="shared" ca="1" si="7"/>
        <v>12632256</v>
      </c>
      <c r="P63" s="53">
        <f t="shared" ref="P63" ca="1" si="8">CellColor(P59)</f>
        <v>24704</v>
      </c>
      <c r="Q63" s="53">
        <f t="shared" ref="Q63" ca="1" si="9">CellColor(Q59)</f>
        <v>255</v>
      </c>
      <c r="R63" s="28"/>
      <c r="S63" s="28"/>
      <c r="T63" s="28"/>
      <c r="U63" s="28"/>
      <c r="V63" s="28"/>
    </row>
    <row r="64" spans="1:27" ht="17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8"/>
      <c r="V64" s="28"/>
      <c r="W64" s="28"/>
      <c r="X64" s="28"/>
      <c r="Y64" s="28"/>
    </row>
    <row r="65" spans="1:27" ht="18" thickBot="1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8"/>
      <c r="V65" s="28"/>
      <c r="W65" s="28"/>
      <c r="X65" s="28"/>
      <c r="Y65" s="28"/>
    </row>
    <row r="66" spans="1:27" ht="15.75" thickTop="1" thickBot="1">
      <c r="C66" s="34" t="s">
        <v>92</v>
      </c>
      <c r="D66" s="35" t="s">
        <v>16</v>
      </c>
      <c r="E66" s="35" t="s">
        <v>89</v>
      </c>
      <c r="F66" s="35"/>
      <c r="G66" s="94" t="s">
        <v>201</v>
      </c>
      <c r="H66" s="34" t="s">
        <v>17</v>
      </c>
      <c r="I66" s="34" t="s">
        <v>18</v>
      </c>
      <c r="J66" s="34"/>
      <c r="K66" s="34"/>
      <c r="L66" s="130" t="s">
        <v>164</v>
      </c>
      <c r="M66" s="74" t="s">
        <v>170</v>
      </c>
      <c r="N66" s="34" t="s">
        <v>19</v>
      </c>
      <c r="O66" s="34" t="s">
        <v>20</v>
      </c>
      <c r="P66" s="123" t="s">
        <v>175</v>
      </c>
      <c r="Q66" s="100"/>
      <c r="R66" s="74" t="s">
        <v>169</v>
      </c>
      <c r="S66" s="74" t="s">
        <v>174</v>
      </c>
      <c r="T66" s="37"/>
      <c r="U66" s="238" t="s">
        <v>288</v>
      </c>
      <c r="V66" s="37"/>
      <c r="W66" s="37"/>
      <c r="X66" s="37"/>
    </row>
    <row r="67" spans="1:27" ht="14.25" thickTop="1">
      <c r="C67" s="37">
        <f>COUNTIF($C$12:$Y$43,C66)</f>
        <v>0</v>
      </c>
      <c r="D67" s="37">
        <f>COUNTIF($C$12:$Y$43,D66)</f>
        <v>4</v>
      </c>
      <c r="E67" s="37">
        <f>COUNTIF($C$12:$Y$43,E66)</f>
        <v>4</v>
      </c>
      <c r="F67" s="37"/>
      <c r="G67" s="37">
        <f>COUNTIF($C$12:$Y$43,G66)</f>
        <v>4</v>
      </c>
      <c r="H67" s="37">
        <f>COUNTIF($C$12:$Y$43,H66)</f>
        <v>4</v>
      </c>
      <c r="I67" s="37">
        <f>COUNTIF($C$12:$Y$43,I66)</f>
        <v>4</v>
      </c>
      <c r="J67" s="37"/>
      <c r="K67" s="37"/>
      <c r="L67" s="37">
        <f t="shared" ref="L67:S67" si="10">COUNTIF($C$12:$Y$43,L66)</f>
        <v>4</v>
      </c>
      <c r="M67" s="37">
        <f t="shared" si="10"/>
        <v>1</v>
      </c>
      <c r="N67" s="37">
        <f t="shared" si="10"/>
        <v>4</v>
      </c>
      <c r="O67" s="37">
        <f t="shared" si="10"/>
        <v>4</v>
      </c>
      <c r="P67" s="37">
        <f t="shared" si="10"/>
        <v>1</v>
      </c>
      <c r="Q67" s="37"/>
      <c r="R67" s="37">
        <f t="shared" si="10"/>
        <v>1</v>
      </c>
      <c r="S67" s="37">
        <f t="shared" si="10"/>
        <v>1</v>
      </c>
      <c r="T67" s="37"/>
      <c r="U67" s="37"/>
      <c r="V67" s="37"/>
      <c r="W67" s="37"/>
      <c r="X67" s="37"/>
    </row>
    <row r="68" spans="1:27"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238" t="s">
        <v>289</v>
      </c>
      <c r="V68" s="37"/>
      <c r="W68" s="37"/>
      <c r="X68" s="37"/>
    </row>
    <row r="69" spans="1:27">
      <c r="C69" s="34" t="s">
        <v>21</v>
      </c>
      <c r="D69" s="34" t="s">
        <v>22</v>
      </c>
      <c r="E69" s="35" t="s">
        <v>23</v>
      </c>
      <c r="F69" s="35"/>
      <c r="G69" s="34" t="s">
        <v>24</v>
      </c>
      <c r="H69" s="34" t="s">
        <v>25</v>
      </c>
      <c r="I69" s="34" t="s">
        <v>26</v>
      </c>
      <c r="J69" s="34"/>
      <c r="K69" s="34"/>
      <c r="L69" s="34" t="s">
        <v>27</v>
      </c>
      <c r="M69" s="34" t="s">
        <v>28</v>
      </c>
      <c r="N69" s="35" t="s">
        <v>29</v>
      </c>
      <c r="O69" s="34" t="s">
        <v>30</v>
      </c>
      <c r="P69" s="34" t="s">
        <v>31</v>
      </c>
      <c r="Q69" s="34"/>
      <c r="R69" s="34" t="s">
        <v>32</v>
      </c>
      <c r="S69" s="36" t="s">
        <v>33</v>
      </c>
    </row>
    <row r="70" spans="1:27">
      <c r="C70" s="37">
        <f>COUNTIF($C$12:$Y$43,C69)</f>
        <v>5</v>
      </c>
      <c r="D70" s="37">
        <f>COUNTIF($C$12:$Y$43,D69)</f>
        <v>5</v>
      </c>
      <c r="E70" s="37">
        <f>COUNTIF($C$12:$Y$43,E69)</f>
        <v>5</v>
      </c>
      <c r="F70" s="37"/>
      <c r="G70" s="37">
        <f>COUNTIF($C$12:$Y$43,G69)</f>
        <v>0</v>
      </c>
      <c r="H70" s="37">
        <f>COUNTIF($C$12:$Y$43,H69)</f>
        <v>5</v>
      </c>
      <c r="I70" s="37">
        <f>COUNTIF($C$12:$Y$43,I69)</f>
        <v>5</v>
      </c>
      <c r="J70" s="37"/>
      <c r="K70" s="37"/>
      <c r="L70" s="37">
        <f t="shared" ref="L70:S70" si="11">COUNTIF($C$12:$Y$43,L69)</f>
        <v>0</v>
      </c>
      <c r="M70" s="37">
        <f t="shared" si="11"/>
        <v>0</v>
      </c>
      <c r="N70" s="37">
        <f t="shared" si="11"/>
        <v>3</v>
      </c>
      <c r="O70" s="37">
        <f t="shared" si="11"/>
        <v>3</v>
      </c>
      <c r="P70" s="37">
        <f t="shared" si="11"/>
        <v>0</v>
      </c>
      <c r="Q70" s="37"/>
      <c r="R70" s="37">
        <f t="shared" si="11"/>
        <v>0</v>
      </c>
      <c r="S70" s="37">
        <f t="shared" si="11"/>
        <v>0</v>
      </c>
    </row>
    <row r="71" spans="1:27" ht="14.25" thickBot="1"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</row>
    <row r="72" spans="1:27" ht="25.5" thickTop="1" thickBot="1">
      <c r="C72" s="38" t="s">
        <v>34</v>
      </c>
      <c r="D72" s="38" t="s">
        <v>35</v>
      </c>
      <c r="E72" s="38" t="s">
        <v>36</v>
      </c>
      <c r="F72" s="38"/>
      <c r="G72" s="38" t="s">
        <v>37</v>
      </c>
      <c r="H72" s="38" t="s">
        <v>38</v>
      </c>
      <c r="I72" s="38" t="s">
        <v>39</v>
      </c>
      <c r="J72" s="38"/>
      <c r="K72" s="38"/>
      <c r="L72" s="97" t="s">
        <v>154</v>
      </c>
      <c r="M72" s="58" t="s">
        <v>141</v>
      </c>
      <c r="N72" s="35" t="s">
        <v>93</v>
      </c>
      <c r="O72" s="34" t="s">
        <v>85</v>
      </c>
      <c r="P72" s="34" t="s">
        <v>86</v>
      </c>
      <c r="Q72" s="34"/>
      <c r="R72" s="54" t="s">
        <v>139</v>
      </c>
      <c r="S72" s="59" t="s">
        <v>140</v>
      </c>
      <c r="T72" s="37"/>
      <c r="U72" s="37"/>
      <c r="V72" s="37"/>
      <c r="W72" s="37"/>
      <c r="X72" s="37"/>
      <c r="Y72" s="37"/>
    </row>
    <row r="73" spans="1:27" ht="14.25" thickTop="1">
      <c r="C73" s="37">
        <f>COUNTIF($C$12:$Y$43,C72)</f>
        <v>0</v>
      </c>
      <c r="D73" s="37">
        <f>COUNTIF($C$12:$Y$43,D72)</f>
        <v>0</v>
      </c>
      <c r="E73" s="37">
        <f>COUNTIF($C$12:$Y$43,E72)</f>
        <v>0</v>
      </c>
      <c r="F73" s="37"/>
      <c r="G73" s="37">
        <f>COUNTIF($C$12:$Y$43,G72)</f>
        <v>0</v>
      </c>
      <c r="H73" s="37">
        <f>COUNTIF($C$12:$Y$43,H72)</f>
        <v>0</v>
      </c>
      <c r="I73" s="37">
        <f>COUNTIF($C$12:$Y$43,I72)</f>
        <v>0</v>
      </c>
      <c r="J73" s="37"/>
      <c r="K73" s="37"/>
      <c r="L73" s="37">
        <f t="shared" ref="L73:S73" si="12">COUNTIF($C$12:$Y$43,L72)</f>
        <v>4</v>
      </c>
      <c r="M73" s="37">
        <f t="shared" si="12"/>
        <v>0</v>
      </c>
      <c r="N73" s="37">
        <f t="shared" si="12"/>
        <v>4</v>
      </c>
      <c r="O73" s="37">
        <f t="shared" si="12"/>
        <v>4</v>
      </c>
      <c r="P73" s="37">
        <f t="shared" si="12"/>
        <v>0</v>
      </c>
      <c r="Q73" s="37"/>
      <c r="R73" s="37">
        <f t="shared" si="12"/>
        <v>0</v>
      </c>
      <c r="S73" s="37">
        <f t="shared" si="12"/>
        <v>0</v>
      </c>
      <c r="T73" s="37"/>
      <c r="U73" s="37"/>
      <c r="V73" s="37"/>
      <c r="W73" s="37"/>
      <c r="X73" s="37"/>
    </row>
    <row r="74" spans="1:27"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</row>
    <row r="75" spans="1:27" ht="14.25">
      <c r="C75" s="34" t="s">
        <v>40</v>
      </c>
      <c r="D75" s="34" t="s">
        <v>41</v>
      </c>
      <c r="E75" s="35" t="s">
        <v>42</v>
      </c>
      <c r="F75" s="35"/>
      <c r="G75" s="34" t="s">
        <v>43</v>
      </c>
      <c r="H75" s="34" t="s">
        <v>44</v>
      </c>
      <c r="I75" s="35" t="s">
        <v>45</v>
      </c>
      <c r="J75" s="35"/>
      <c r="K75" s="35"/>
      <c r="L75" s="34" t="s">
        <v>46</v>
      </c>
      <c r="M75" s="34" t="s">
        <v>47</v>
      </c>
      <c r="N75" s="35" t="s">
        <v>48</v>
      </c>
      <c r="O75" s="35" t="s">
        <v>49</v>
      </c>
      <c r="P75" s="34" t="s">
        <v>50</v>
      </c>
      <c r="Q75" s="34"/>
      <c r="R75" s="34" t="s">
        <v>51</v>
      </c>
      <c r="S75" s="34" t="s">
        <v>52</v>
      </c>
      <c r="T75" s="123" t="s">
        <v>210</v>
      </c>
      <c r="U75" s="116" t="s">
        <v>186</v>
      </c>
    </row>
    <row r="76" spans="1:27">
      <c r="C76" s="37">
        <f>COUNTIF($C$12:$Y$43,C75)</f>
        <v>5</v>
      </c>
      <c r="D76" s="37">
        <f>COUNTIF($C$12:$Y$43,D75)</f>
        <v>5</v>
      </c>
      <c r="E76" s="37">
        <f>COUNTIF($C$12:$Y$43,E75)</f>
        <v>5</v>
      </c>
      <c r="F76" s="37"/>
      <c r="G76" s="37">
        <f>COUNTIF($C$12:$Y$43,G75)</f>
        <v>0</v>
      </c>
      <c r="H76" s="37">
        <f>COUNTIF($C$12:$Y$43,H75)</f>
        <v>6</v>
      </c>
      <c r="I76" s="37">
        <f>COUNTIF($C$12:$Y$43,I75)</f>
        <v>6</v>
      </c>
      <c r="J76" s="37"/>
      <c r="K76" s="37"/>
      <c r="L76" s="37">
        <f t="shared" ref="L76:U76" si="13">COUNTIF($C$12:$Y$43,L75)</f>
        <v>6</v>
      </c>
      <c r="M76" s="37">
        <f t="shared" si="13"/>
        <v>0</v>
      </c>
      <c r="N76" s="37">
        <f t="shared" si="13"/>
        <v>3</v>
      </c>
      <c r="O76" s="37">
        <f t="shared" si="13"/>
        <v>3</v>
      </c>
      <c r="P76" s="37">
        <f t="shared" si="13"/>
        <v>0</v>
      </c>
      <c r="Q76" s="37"/>
      <c r="R76" s="37">
        <f t="shared" si="13"/>
        <v>0</v>
      </c>
      <c r="S76" s="37">
        <f t="shared" si="13"/>
        <v>0</v>
      </c>
      <c r="T76" s="37">
        <f t="shared" si="13"/>
        <v>1</v>
      </c>
      <c r="U76" s="37">
        <f t="shared" si="13"/>
        <v>1</v>
      </c>
    </row>
    <row r="77" spans="1:27"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</row>
    <row r="78" spans="1:27">
      <c r="C78" s="38" t="s">
        <v>53</v>
      </c>
      <c r="D78" s="38" t="s">
        <v>54</v>
      </c>
      <c r="E78" s="38" t="s">
        <v>55</v>
      </c>
      <c r="F78" s="38"/>
      <c r="G78" s="38" t="s">
        <v>56</v>
      </c>
      <c r="H78" s="38" t="s">
        <v>57</v>
      </c>
      <c r="I78" s="38" t="s">
        <v>58</v>
      </c>
      <c r="J78" s="38"/>
      <c r="K78" s="38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</row>
    <row r="79" spans="1:27">
      <c r="C79" s="37">
        <f>COUNTIF($C$12:$Y$43,C78)</f>
        <v>0</v>
      </c>
      <c r="D79" s="37">
        <f>COUNTIF($C$12:$Y$43,D78)</f>
        <v>0</v>
      </c>
      <c r="E79" s="37">
        <f>COUNTIF($C$12:$Y$43,E78)</f>
        <v>0</v>
      </c>
      <c r="F79" s="37"/>
      <c r="G79" s="37">
        <f>COUNTIF($C$12:$Y$43,G78)</f>
        <v>0</v>
      </c>
      <c r="H79" s="37">
        <f>COUNTIF($C$12:$Y$43,H78)</f>
        <v>0</v>
      </c>
      <c r="I79" s="37">
        <f>COUNTIF($C$12:$Y$43,I78)</f>
        <v>0</v>
      </c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</row>
    <row r="80" spans="1:27"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</row>
    <row r="81" spans="3:24">
      <c r="C81" s="34" t="s">
        <v>59</v>
      </c>
      <c r="D81" s="35" t="s">
        <v>60</v>
      </c>
      <c r="E81" s="34" t="s">
        <v>61</v>
      </c>
      <c r="F81" s="34"/>
      <c r="G81" s="34" t="s">
        <v>62</v>
      </c>
      <c r="H81" s="34" t="s">
        <v>63</v>
      </c>
      <c r="I81" s="35" t="s">
        <v>64</v>
      </c>
      <c r="J81" s="35"/>
      <c r="K81" s="35"/>
      <c r="L81" s="34" t="s">
        <v>65</v>
      </c>
      <c r="M81" s="35" t="s">
        <v>66</v>
      </c>
      <c r="N81" s="34" t="s">
        <v>67</v>
      </c>
      <c r="O81" s="34" t="s">
        <v>68</v>
      </c>
      <c r="P81" s="34" t="s">
        <v>69</v>
      </c>
      <c r="Q81" s="34"/>
      <c r="R81" s="34" t="s">
        <v>70</v>
      </c>
      <c r="S81" s="34" t="s">
        <v>71</v>
      </c>
      <c r="T81" s="34" t="s">
        <v>72</v>
      </c>
      <c r="U81" s="34" t="s">
        <v>73</v>
      </c>
      <c r="V81" s="34" t="s">
        <v>74</v>
      </c>
      <c r="W81" s="34" t="s">
        <v>75</v>
      </c>
      <c r="X81" s="34"/>
    </row>
    <row r="82" spans="3:24">
      <c r="C82" s="37">
        <f>COUNTIF($C$12:$Y$43,C81)</f>
        <v>6</v>
      </c>
      <c r="D82" s="37">
        <f>COUNTIF($C$12:$Y$43,D81)</f>
        <v>6</v>
      </c>
      <c r="E82" s="37">
        <f>COUNTIF($C$12:$Y$43,E81)</f>
        <v>6</v>
      </c>
      <c r="F82" s="37"/>
      <c r="G82" s="37">
        <f>COUNTIF($C$12:$Y$43,G81)</f>
        <v>0</v>
      </c>
      <c r="H82" s="37">
        <f>COUNTIF($C$12:$Y$43,H81)</f>
        <v>6</v>
      </c>
      <c r="I82" s="37">
        <f>COUNTIF($C$12:$Y$43,I81)</f>
        <v>6</v>
      </c>
      <c r="J82" s="37"/>
      <c r="K82" s="37"/>
      <c r="L82" s="37">
        <f t="shared" ref="L82:W82" si="14">COUNTIF($C$12:$Y$43,L81)</f>
        <v>6</v>
      </c>
      <c r="M82" s="37">
        <f t="shared" si="14"/>
        <v>0</v>
      </c>
      <c r="N82" s="37">
        <f t="shared" si="14"/>
        <v>4</v>
      </c>
      <c r="O82" s="37">
        <f t="shared" si="14"/>
        <v>4</v>
      </c>
      <c r="P82" s="37">
        <f t="shared" si="14"/>
        <v>4</v>
      </c>
      <c r="Q82" s="37"/>
      <c r="R82" s="37">
        <f t="shared" si="14"/>
        <v>4</v>
      </c>
      <c r="S82" s="37">
        <f t="shared" si="14"/>
        <v>4</v>
      </c>
      <c r="T82" s="37">
        <f t="shared" si="14"/>
        <v>4</v>
      </c>
      <c r="U82" s="37">
        <f t="shared" si="14"/>
        <v>3</v>
      </c>
      <c r="V82" s="37">
        <f t="shared" si="14"/>
        <v>3</v>
      </c>
      <c r="W82" s="37">
        <f t="shared" si="14"/>
        <v>3</v>
      </c>
      <c r="X82" s="37"/>
    </row>
    <row r="83" spans="3:24"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</row>
    <row r="84" spans="3:24">
      <c r="C84" s="38" t="s">
        <v>76</v>
      </c>
      <c r="D84" s="38" t="s">
        <v>77</v>
      </c>
      <c r="E84" s="38" t="s">
        <v>78</v>
      </c>
      <c r="F84" s="38"/>
      <c r="G84" s="38" t="s">
        <v>79</v>
      </c>
      <c r="H84" s="38" t="s">
        <v>80</v>
      </c>
      <c r="I84" s="38" t="s">
        <v>81</v>
      </c>
      <c r="J84" s="38"/>
      <c r="K84" s="38"/>
      <c r="S84" s="39"/>
      <c r="T84" s="39"/>
      <c r="U84" s="37"/>
      <c r="V84" s="37"/>
      <c r="W84" s="37"/>
      <c r="X84" s="37"/>
    </row>
    <row r="85" spans="3:24">
      <c r="C85" s="37">
        <f>COUNTIF($C$12:$Y$43,C84)</f>
        <v>0</v>
      </c>
      <c r="D85" s="37">
        <f>COUNTIF($C$12:$Y$43,D84)</f>
        <v>0</v>
      </c>
      <c r="E85" s="37">
        <f>COUNTIF($C$12:$Y$43,E84)</f>
        <v>0</v>
      </c>
      <c r="F85" s="37"/>
      <c r="G85" s="37">
        <f>COUNTIF($C$12:$Y$43,G84)</f>
        <v>0</v>
      </c>
      <c r="H85" s="37">
        <f>COUNTIF($C$12:$Y$43,H84)</f>
        <v>0</v>
      </c>
      <c r="I85" s="37">
        <f>COUNTIF($C$12:$Y$43,I84)</f>
        <v>0</v>
      </c>
      <c r="J85" s="37"/>
      <c r="K85" s="37"/>
    </row>
  </sheetData>
  <mergeCells count="35">
    <mergeCell ref="M8:N8"/>
    <mergeCell ref="A9:B9"/>
    <mergeCell ref="A10:B10"/>
    <mergeCell ref="C9:E10"/>
    <mergeCell ref="S9:Y9"/>
    <mergeCell ref="S10:Y10"/>
    <mergeCell ref="L9:R9"/>
    <mergeCell ref="L10:R10"/>
    <mergeCell ref="F9:K9"/>
    <mergeCell ref="F10:K10"/>
    <mergeCell ref="A11:B11"/>
    <mergeCell ref="A44:B44"/>
    <mergeCell ref="A45:B45"/>
    <mergeCell ref="C45:E46"/>
    <mergeCell ref="A46:B46"/>
    <mergeCell ref="C12:Y12"/>
    <mergeCell ref="C13:D13"/>
    <mergeCell ref="F45:K45"/>
    <mergeCell ref="F46:K46"/>
    <mergeCell ref="S45:Y46"/>
    <mergeCell ref="L45:R46"/>
    <mergeCell ref="D37:E37"/>
    <mergeCell ref="E13:F13"/>
    <mergeCell ref="Z9:AA9"/>
    <mergeCell ref="Z10:AA10"/>
    <mergeCell ref="Z11:AA11"/>
    <mergeCell ref="Z44:AA44"/>
    <mergeCell ref="Z45:AA45"/>
    <mergeCell ref="D56:V56"/>
    <mergeCell ref="A39:A40"/>
    <mergeCell ref="B39:B40"/>
    <mergeCell ref="Z39:Z40"/>
    <mergeCell ref="AA39:AA40"/>
    <mergeCell ref="Z46:AA46"/>
    <mergeCell ref="A52:AA52"/>
  </mergeCells>
  <phoneticPr fontId="4"/>
  <conditionalFormatting sqref="C12:Y12">
    <cfRule type="containsText" dxfId="131" priority="61" stopIfTrue="1" operator="containsText" text="４">
      <formula>NOT(ISERROR(SEARCH("４",C12)))</formula>
    </cfRule>
    <cfRule type="beginsWith" dxfId="130" priority="62" stopIfTrue="1" operator="beginsWith" text="６">
      <formula>LEFT(C12,LEN("６"))="６"</formula>
    </cfRule>
    <cfRule type="beginsWith" dxfId="129" priority="63" stopIfTrue="1" operator="beginsWith" text="５">
      <formula>LEFT(C12,LEN("５"))="５"</formula>
    </cfRule>
    <cfRule type="beginsWith" dxfId="128" priority="64" stopIfTrue="1" operator="beginsWith" text="３">
      <formula>LEFT(C12,LEN("３"))="３"</formula>
    </cfRule>
    <cfRule type="beginsWith" dxfId="127" priority="65" stopIfTrue="1" operator="beginsWith" text="２">
      <formula>LEFT(C12,LEN("２"))="２"</formula>
    </cfRule>
    <cfRule type="beginsWith" dxfId="126" priority="66" stopIfTrue="1" operator="beginsWith" text="１">
      <formula>LEFT(C12,LEN("１"))="１"</formula>
    </cfRule>
  </conditionalFormatting>
  <conditionalFormatting sqref="C13:D13">
    <cfRule type="containsText" dxfId="125" priority="55" stopIfTrue="1" operator="containsText" text="４">
      <formula>NOT(ISERROR(SEARCH("４",C13)))</formula>
    </cfRule>
    <cfRule type="beginsWith" dxfId="124" priority="56" stopIfTrue="1" operator="beginsWith" text="６">
      <formula>LEFT(C13,LEN("６"))="６"</formula>
    </cfRule>
    <cfRule type="beginsWith" dxfId="123" priority="57" stopIfTrue="1" operator="beginsWith" text="５">
      <formula>LEFT(C13,LEN("５"))="５"</formula>
    </cfRule>
    <cfRule type="beginsWith" dxfId="122" priority="58" stopIfTrue="1" operator="beginsWith" text="３">
      <formula>LEFT(C13,LEN("３"))="３"</formula>
    </cfRule>
    <cfRule type="beginsWith" dxfId="121" priority="59" stopIfTrue="1" operator="beginsWith" text="２">
      <formula>LEFT(C13,LEN("２"))="２"</formula>
    </cfRule>
    <cfRule type="beginsWith" dxfId="120" priority="60" stopIfTrue="1" operator="beginsWith" text="１">
      <formula>LEFT(C13,LEN("１"))="１"</formula>
    </cfRule>
  </conditionalFormatting>
  <conditionalFormatting sqref="C39">
    <cfRule type="containsText" dxfId="119" priority="49" stopIfTrue="1" operator="containsText" text="４">
      <formula>NOT(ISERROR(SEARCH("４",C39)))</formula>
    </cfRule>
    <cfRule type="beginsWith" dxfId="118" priority="50" stopIfTrue="1" operator="beginsWith" text="６">
      <formula>LEFT(C39,LEN("６"))="６"</formula>
    </cfRule>
    <cfRule type="beginsWith" dxfId="117" priority="51" stopIfTrue="1" operator="beginsWith" text="５">
      <formula>LEFT(C39,LEN("５"))="５"</formula>
    </cfRule>
    <cfRule type="beginsWith" dxfId="116" priority="52" stopIfTrue="1" operator="beginsWith" text="３">
      <formula>LEFT(C39,LEN("３"))="３"</formula>
    </cfRule>
    <cfRule type="beginsWith" dxfId="115" priority="53" stopIfTrue="1" operator="beginsWith" text="２">
      <formula>LEFT(C39,LEN("２"))="２"</formula>
    </cfRule>
    <cfRule type="beginsWith" dxfId="114" priority="54" stopIfTrue="1" operator="beginsWith" text="１">
      <formula>LEFT(C39,LEN("１"))="１"</formula>
    </cfRule>
  </conditionalFormatting>
  <conditionalFormatting sqref="C32">
    <cfRule type="containsText" dxfId="113" priority="43" stopIfTrue="1" operator="containsText" text="４">
      <formula>NOT(ISERROR(SEARCH("４",C32)))</formula>
    </cfRule>
    <cfRule type="beginsWith" dxfId="112" priority="44" stopIfTrue="1" operator="beginsWith" text="６">
      <formula>LEFT(C32,LEN("６"))="６"</formula>
    </cfRule>
    <cfRule type="beginsWith" dxfId="111" priority="45" stopIfTrue="1" operator="beginsWith" text="５">
      <formula>LEFT(C32,LEN("５"))="５"</formula>
    </cfRule>
    <cfRule type="beginsWith" dxfId="110" priority="46" stopIfTrue="1" operator="beginsWith" text="３">
      <formula>LEFT(C32,LEN("３"))="３"</formula>
    </cfRule>
    <cfRule type="beginsWith" dxfId="109" priority="47" stopIfTrue="1" operator="beginsWith" text="２">
      <formula>LEFT(C32,LEN("２"))="２"</formula>
    </cfRule>
    <cfRule type="beginsWith" dxfId="108" priority="48" stopIfTrue="1" operator="beginsWith" text="１">
      <formula>LEFT(C32,LEN("１"))="１"</formula>
    </cfRule>
  </conditionalFormatting>
  <conditionalFormatting sqref="C26">
    <cfRule type="containsText" dxfId="107" priority="37" stopIfTrue="1" operator="containsText" text="４">
      <formula>NOT(ISERROR(SEARCH("４",C26)))</formula>
    </cfRule>
    <cfRule type="beginsWith" dxfId="106" priority="38" stopIfTrue="1" operator="beginsWith" text="６">
      <formula>LEFT(C26,LEN("６"))="６"</formula>
    </cfRule>
    <cfRule type="beginsWith" dxfId="105" priority="39" stopIfTrue="1" operator="beginsWith" text="５">
      <formula>LEFT(C26,LEN("５"))="５"</formula>
    </cfRule>
    <cfRule type="beginsWith" dxfId="104" priority="40" stopIfTrue="1" operator="beginsWith" text="３">
      <formula>LEFT(C26,LEN("３"))="３"</formula>
    </cfRule>
    <cfRule type="beginsWith" dxfId="103" priority="41" stopIfTrue="1" operator="beginsWith" text="２">
      <formula>LEFT(C26,LEN("２"))="２"</formula>
    </cfRule>
    <cfRule type="beginsWith" dxfId="102" priority="42" stopIfTrue="1" operator="beginsWith" text="１">
      <formula>LEFT(C26,LEN("１"))="１"</formula>
    </cfRule>
  </conditionalFormatting>
  <conditionalFormatting sqref="E13:F13">
    <cfRule type="containsText" dxfId="101" priority="1" stopIfTrue="1" operator="containsText" text="４">
      <formula>NOT(ISERROR(SEARCH("４",E13)))</formula>
    </cfRule>
    <cfRule type="beginsWith" dxfId="100" priority="2" stopIfTrue="1" operator="beginsWith" text="６">
      <formula>LEFT(E13,LEN("６"))="６"</formula>
    </cfRule>
    <cfRule type="beginsWith" dxfId="99" priority="3" stopIfTrue="1" operator="beginsWith" text="５">
      <formula>LEFT(E13,LEN("５"))="５"</formula>
    </cfRule>
    <cfRule type="beginsWith" dxfId="98" priority="4" stopIfTrue="1" operator="beginsWith" text="３">
      <formula>LEFT(E13,LEN("３"))="３"</formula>
    </cfRule>
    <cfRule type="beginsWith" dxfId="97" priority="5" stopIfTrue="1" operator="beginsWith" text="２">
      <formula>LEFT(E13,LEN("２"))="２"</formula>
    </cfRule>
    <cfRule type="beginsWith" dxfId="96" priority="6" stopIfTrue="1" operator="beginsWith" text="１">
      <formula>LEFT(E13,LEN("１"))="１"</formula>
    </cfRule>
  </conditionalFormatting>
  <printOptions horizontalCentered="1" verticalCentered="1"/>
  <pageMargins left="0.27559055118110237" right="0.15748031496062992" top="0.27559055118110237" bottom="0.19685039370078741" header="0.9055118110236221" footer="0.59055118110236227"/>
  <pageSetup paperSize="9" scale="4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2915-3FBF-4A9F-9600-549C7315440B}">
  <sheetPr codeName="Sheet4">
    <pageSetUpPr fitToPage="1"/>
  </sheetPr>
  <dimension ref="A1:AA85"/>
  <sheetViews>
    <sheetView showGridLines="0" topLeftCell="A28" zoomScaleNormal="100" zoomScaleSheetLayoutView="100" workbookViewId="0">
      <selection activeCell="O36" sqref="O36"/>
    </sheetView>
  </sheetViews>
  <sheetFormatPr defaultRowHeight="13.5"/>
  <cols>
    <col min="1" max="2" width="6.75" style="4" customWidth="1"/>
    <col min="3" max="4" width="7.75" style="4" customWidth="1"/>
    <col min="5" max="5" width="7.5" style="4" customWidth="1"/>
    <col min="6" max="25" width="7.75" style="4" customWidth="1"/>
    <col min="26" max="27" width="4.625" style="4" customWidth="1"/>
    <col min="28" max="31" width="6.625" style="4" customWidth="1"/>
    <col min="32" max="194" width="9" style="4"/>
    <col min="195" max="195" width="4.625" style="4" customWidth="1"/>
    <col min="196" max="196" width="3.625" style="4" customWidth="1"/>
    <col min="197" max="228" width="6.625" style="4" customWidth="1"/>
    <col min="229" max="450" width="9" style="4"/>
    <col min="451" max="451" width="4.625" style="4" customWidth="1"/>
    <col min="452" max="452" width="3.625" style="4" customWidth="1"/>
    <col min="453" max="484" width="6.625" style="4" customWidth="1"/>
    <col min="485" max="706" width="9" style="4"/>
    <col min="707" max="707" width="4.625" style="4" customWidth="1"/>
    <col min="708" max="708" width="3.625" style="4" customWidth="1"/>
    <col min="709" max="740" width="6.625" style="4" customWidth="1"/>
    <col min="741" max="962" width="9" style="4"/>
    <col min="963" max="963" width="4.625" style="4" customWidth="1"/>
    <col min="964" max="964" width="3.625" style="4" customWidth="1"/>
    <col min="965" max="996" width="6.625" style="4" customWidth="1"/>
    <col min="997" max="1218" width="9" style="4"/>
    <col min="1219" max="1219" width="4.625" style="4" customWidth="1"/>
    <col min="1220" max="1220" width="3.625" style="4" customWidth="1"/>
    <col min="1221" max="1252" width="6.625" style="4" customWidth="1"/>
    <col min="1253" max="1474" width="9" style="4"/>
    <col min="1475" max="1475" width="4.625" style="4" customWidth="1"/>
    <col min="1476" max="1476" width="3.625" style="4" customWidth="1"/>
    <col min="1477" max="1508" width="6.625" style="4" customWidth="1"/>
    <col min="1509" max="1730" width="9" style="4"/>
    <col min="1731" max="1731" width="4.625" style="4" customWidth="1"/>
    <col min="1732" max="1732" width="3.625" style="4" customWidth="1"/>
    <col min="1733" max="1764" width="6.625" style="4" customWidth="1"/>
    <col min="1765" max="1986" width="9" style="4"/>
    <col min="1987" max="1987" width="4.625" style="4" customWidth="1"/>
    <col min="1988" max="1988" width="3.625" style="4" customWidth="1"/>
    <col min="1989" max="2020" width="6.625" style="4" customWidth="1"/>
    <col min="2021" max="2242" width="9" style="4"/>
    <col min="2243" max="2243" width="4.625" style="4" customWidth="1"/>
    <col min="2244" max="2244" width="3.625" style="4" customWidth="1"/>
    <col min="2245" max="2276" width="6.625" style="4" customWidth="1"/>
    <col min="2277" max="2498" width="9" style="4"/>
    <col min="2499" max="2499" width="4.625" style="4" customWidth="1"/>
    <col min="2500" max="2500" width="3.625" style="4" customWidth="1"/>
    <col min="2501" max="2532" width="6.625" style="4" customWidth="1"/>
    <col min="2533" max="2754" width="9" style="4"/>
    <col min="2755" max="2755" width="4.625" style="4" customWidth="1"/>
    <col min="2756" max="2756" width="3.625" style="4" customWidth="1"/>
    <col min="2757" max="2788" width="6.625" style="4" customWidth="1"/>
    <col min="2789" max="3010" width="9" style="4"/>
    <col min="3011" max="3011" width="4.625" style="4" customWidth="1"/>
    <col min="3012" max="3012" width="3.625" style="4" customWidth="1"/>
    <col min="3013" max="3044" width="6.625" style="4" customWidth="1"/>
    <col min="3045" max="3266" width="9" style="4"/>
    <col min="3267" max="3267" width="4.625" style="4" customWidth="1"/>
    <col min="3268" max="3268" width="3.625" style="4" customWidth="1"/>
    <col min="3269" max="3300" width="6.625" style="4" customWidth="1"/>
    <col min="3301" max="3522" width="9" style="4"/>
    <col min="3523" max="3523" width="4.625" style="4" customWidth="1"/>
    <col min="3524" max="3524" width="3.625" style="4" customWidth="1"/>
    <col min="3525" max="3556" width="6.625" style="4" customWidth="1"/>
    <col min="3557" max="3778" width="9" style="4"/>
    <col min="3779" max="3779" width="4.625" style="4" customWidth="1"/>
    <col min="3780" max="3780" width="3.625" style="4" customWidth="1"/>
    <col min="3781" max="3812" width="6.625" style="4" customWidth="1"/>
    <col min="3813" max="4034" width="9" style="4"/>
    <col min="4035" max="4035" width="4.625" style="4" customWidth="1"/>
    <col min="4036" max="4036" width="3.625" style="4" customWidth="1"/>
    <col min="4037" max="4068" width="6.625" style="4" customWidth="1"/>
    <col min="4069" max="4290" width="9" style="4"/>
    <col min="4291" max="4291" width="4.625" style="4" customWidth="1"/>
    <col min="4292" max="4292" width="3.625" style="4" customWidth="1"/>
    <col min="4293" max="4324" width="6.625" style="4" customWidth="1"/>
    <col min="4325" max="4546" width="9" style="4"/>
    <col min="4547" max="4547" width="4.625" style="4" customWidth="1"/>
    <col min="4548" max="4548" width="3.625" style="4" customWidth="1"/>
    <col min="4549" max="4580" width="6.625" style="4" customWidth="1"/>
    <col min="4581" max="4802" width="9" style="4"/>
    <col min="4803" max="4803" width="4.625" style="4" customWidth="1"/>
    <col min="4804" max="4804" width="3.625" style="4" customWidth="1"/>
    <col min="4805" max="4836" width="6.625" style="4" customWidth="1"/>
    <col min="4837" max="5058" width="9" style="4"/>
    <col min="5059" max="5059" width="4.625" style="4" customWidth="1"/>
    <col min="5060" max="5060" width="3.625" style="4" customWidth="1"/>
    <col min="5061" max="5092" width="6.625" style="4" customWidth="1"/>
    <col min="5093" max="5314" width="9" style="4"/>
    <col min="5315" max="5315" width="4.625" style="4" customWidth="1"/>
    <col min="5316" max="5316" width="3.625" style="4" customWidth="1"/>
    <col min="5317" max="5348" width="6.625" style="4" customWidth="1"/>
    <col min="5349" max="5570" width="9" style="4"/>
    <col min="5571" max="5571" width="4.625" style="4" customWidth="1"/>
    <col min="5572" max="5572" width="3.625" style="4" customWidth="1"/>
    <col min="5573" max="5604" width="6.625" style="4" customWidth="1"/>
    <col min="5605" max="5826" width="9" style="4"/>
    <col min="5827" max="5827" width="4.625" style="4" customWidth="1"/>
    <col min="5828" max="5828" width="3.625" style="4" customWidth="1"/>
    <col min="5829" max="5860" width="6.625" style="4" customWidth="1"/>
    <col min="5861" max="6082" width="9" style="4"/>
    <col min="6083" max="6083" width="4.625" style="4" customWidth="1"/>
    <col min="6084" max="6084" width="3.625" style="4" customWidth="1"/>
    <col min="6085" max="6116" width="6.625" style="4" customWidth="1"/>
    <col min="6117" max="6338" width="9" style="4"/>
    <col min="6339" max="6339" width="4.625" style="4" customWidth="1"/>
    <col min="6340" max="6340" width="3.625" style="4" customWidth="1"/>
    <col min="6341" max="6372" width="6.625" style="4" customWidth="1"/>
    <col min="6373" max="6594" width="9" style="4"/>
    <col min="6595" max="6595" width="4.625" style="4" customWidth="1"/>
    <col min="6596" max="6596" width="3.625" style="4" customWidth="1"/>
    <col min="6597" max="6628" width="6.625" style="4" customWidth="1"/>
    <col min="6629" max="6850" width="9" style="4"/>
    <col min="6851" max="6851" width="4.625" style="4" customWidth="1"/>
    <col min="6852" max="6852" width="3.625" style="4" customWidth="1"/>
    <col min="6853" max="6884" width="6.625" style="4" customWidth="1"/>
    <col min="6885" max="7106" width="9" style="4"/>
    <col min="7107" max="7107" width="4.625" style="4" customWidth="1"/>
    <col min="7108" max="7108" width="3.625" style="4" customWidth="1"/>
    <col min="7109" max="7140" width="6.625" style="4" customWidth="1"/>
    <col min="7141" max="7362" width="9" style="4"/>
    <col min="7363" max="7363" width="4.625" style="4" customWidth="1"/>
    <col min="7364" max="7364" width="3.625" style="4" customWidth="1"/>
    <col min="7365" max="7396" width="6.625" style="4" customWidth="1"/>
    <col min="7397" max="7618" width="9" style="4"/>
    <col min="7619" max="7619" width="4.625" style="4" customWidth="1"/>
    <col min="7620" max="7620" width="3.625" style="4" customWidth="1"/>
    <col min="7621" max="7652" width="6.625" style="4" customWidth="1"/>
    <col min="7653" max="7874" width="9" style="4"/>
    <col min="7875" max="7875" width="4.625" style="4" customWidth="1"/>
    <col min="7876" max="7876" width="3.625" style="4" customWidth="1"/>
    <col min="7877" max="7908" width="6.625" style="4" customWidth="1"/>
    <col min="7909" max="8130" width="9" style="4"/>
    <col min="8131" max="8131" width="4.625" style="4" customWidth="1"/>
    <col min="8132" max="8132" width="3.625" style="4" customWidth="1"/>
    <col min="8133" max="8164" width="6.625" style="4" customWidth="1"/>
    <col min="8165" max="8386" width="9" style="4"/>
    <col min="8387" max="8387" width="4.625" style="4" customWidth="1"/>
    <col min="8388" max="8388" width="3.625" style="4" customWidth="1"/>
    <col min="8389" max="8420" width="6.625" style="4" customWidth="1"/>
    <col min="8421" max="8642" width="9" style="4"/>
    <col min="8643" max="8643" width="4.625" style="4" customWidth="1"/>
    <col min="8644" max="8644" width="3.625" style="4" customWidth="1"/>
    <col min="8645" max="8676" width="6.625" style="4" customWidth="1"/>
    <col min="8677" max="8898" width="9" style="4"/>
    <col min="8899" max="8899" width="4.625" style="4" customWidth="1"/>
    <col min="8900" max="8900" width="3.625" style="4" customWidth="1"/>
    <col min="8901" max="8932" width="6.625" style="4" customWidth="1"/>
    <col min="8933" max="9154" width="9" style="4"/>
    <col min="9155" max="9155" width="4.625" style="4" customWidth="1"/>
    <col min="9156" max="9156" width="3.625" style="4" customWidth="1"/>
    <col min="9157" max="9188" width="6.625" style="4" customWidth="1"/>
    <col min="9189" max="9410" width="9" style="4"/>
    <col min="9411" max="9411" width="4.625" style="4" customWidth="1"/>
    <col min="9412" max="9412" width="3.625" style="4" customWidth="1"/>
    <col min="9413" max="9444" width="6.625" style="4" customWidth="1"/>
    <col min="9445" max="9666" width="9" style="4"/>
    <col min="9667" max="9667" width="4.625" style="4" customWidth="1"/>
    <col min="9668" max="9668" width="3.625" style="4" customWidth="1"/>
    <col min="9669" max="9700" width="6.625" style="4" customWidth="1"/>
    <col min="9701" max="9922" width="9" style="4"/>
    <col min="9923" max="9923" width="4.625" style="4" customWidth="1"/>
    <col min="9924" max="9924" width="3.625" style="4" customWidth="1"/>
    <col min="9925" max="9956" width="6.625" style="4" customWidth="1"/>
    <col min="9957" max="10178" width="9" style="4"/>
    <col min="10179" max="10179" width="4.625" style="4" customWidth="1"/>
    <col min="10180" max="10180" width="3.625" style="4" customWidth="1"/>
    <col min="10181" max="10212" width="6.625" style="4" customWidth="1"/>
    <col min="10213" max="10434" width="9" style="4"/>
    <col min="10435" max="10435" width="4.625" style="4" customWidth="1"/>
    <col min="10436" max="10436" width="3.625" style="4" customWidth="1"/>
    <col min="10437" max="10468" width="6.625" style="4" customWidth="1"/>
    <col min="10469" max="10690" width="9" style="4"/>
    <col min="10691" max="10691" width="4.625" style="4" customWidth="1"/>
    <col min="10692" max="10692" width="3.625" style="4" customWidth="1"/>
    <col min="10693" max="10724" width="6.625" style="4" customWidth="1"/>
    <col min="10725" max="10946" width="9" style="4"/>
    <col min="10947" max="10947" width="4.625" style="4" customWidth="1"/>
    <col min="10948" max="10948" width="3.625" style="4" customWidth="1"/>
    <col min="10949" max="10980" width="6.625" style="4" customWidth="1"/>
    <col min="10981" max="11202" width="9" style="4"/>
    <col min="11203" max="11203" width="4.625" style="4" customWidth="1"/>
    <col min="11204" max="11204" width="3.625" style="4" customWidth="1"/>
    <col min="11205" max="11236" width="6.625" style="4" customWidth="1"/>
    <col min="11237" max="11458" width="9" style="4"/>
    <col min="11459" max="11459" width="4.625" style="4" customWidth="1"/>
    <col min="11460" max="11460" width="3.625" style="4" customWidth="1"/>
    <col min="11461" max="11492" width="6.625" style="4" customWidth="1"/>
    <col min="11493" max="11714" width="9" style="4"/>
    <col min="11715" max="11715" width="4.625" style="4" customWidth="1"/>
    <col min="11716" max="11716" width="3.625" style="4" customWidth="1"/>
    <col min="11717" max="11748" width="6.625" style="4" customWidth="1"/>
    <col min="11749" max="11970" width="9" style="4"/>
    <col min="11971" max="11971" width="4.625" style="4" customWidth="1"/>
    <col min="11972" max="11972" width="3.625" style="4" customWidth="1"/>
    <col min="11973" max="12004" width="6.625" style="4" customWidth="1"/>
    <col min="12005" max="12226" width="9" style="4"/>
    <col min="12227" max="12227" width="4.625" style="4" customWidth="1"/>
    <col min="12228" max="12228" width="3.625" style="4" customWidth="1"/>
    <col min="12229" max="12260" width="6.625" style="4" customWidth="1"/>
    <col min="12261" max="12482" width="9" style="4"/>
    <col min="12483" max="12483" width="4.625" style="4" customWidth="1"/>
    <col min="12484" max="12484" width="3.625" style="4" customWidth="1"/>
    <col min="12485" max="12516" width="6.625" style="4" customWidth="1"/>
    <col min="12517" max="12738" width="9" style="4"/>
    <col min="12739" max="12739" width="4.625" style="4" customWidth="1"/>
    <col min="12740" max="12740" width="3.625" style="4" customWidth="1"/>
    <col min="12741" max="12772" width="6.625" style="4" customWidth="1"/>
    <col min="12773" max="12994" width="9" style="4"/>
    <col min="12995" max="12995" width="4.625" style="4" customWidth="1"/>
    <col min="12996" max="12996" width="3.625" style="4" customWidth="1"/>
    <col min="12997" max="13028" width="6.625" style="4" customWidth="1"/>
    <col min="13029" max="13250" width="9" style="4"/>
    <col min="13251" max="13251" width="4.625" style="4" customWidth="1"/>
    <col min="13252" max="13252" width="3.625" style="4" customWidth="1"/>
    <col min="13253" max="13284" width="6.625" style="4" customWidth="1"/>
    <col min="13285" max="13506" width="9" style="4"/>
    <col min="13507" max="13507" width="4.625" style="4" customWidth="1"/>
    <col min="13508" max="13508" width="3.625" style="4" customWidth="1"/>
    <col min="13509" max="13540" width="6.625" style="4" customWidth="1"/>
    <col min="13541" max="13762" width="9" style="4"/>
    <col min="13763" max="13763" width="4.625" style="4" customWidth="1"/>
    <col min="13764" max="13764" width="3.625" style="4" customWidth="1"/>
    <col min="13765" max="13796" width="6.625" style="4" customWidth="1"/>
    <col min="13797" max="14018" width="9" style="4"/>
    <col min="14019" max="14019" width="4.625" style="4" customWidth="1"/>
    <col min="14020" max="14020" width="3.625" style="4" customWidth="1"/>
    <col min="14021" max="14052" width="6.625" style="4" customWidth="1"/>
    <col min="14053" max="14274" width="9" style="4"/>
    <col min="14275" max="14275" width="4.625" style="4" customWidth="1"/>
    <col min="14276" max="14276" width="3.625" style="4" customWidth="1"/>
    <col min="14277" max="14308" width="6.625" style="4" customWidth="1"/>
    <col min="14309" max="14530" width="9" style="4"/>
    <col min="14531" max="14531" width="4.625" style="4" customWidth="1"/>
    <col min="14532" max="14532" width="3.625" style="4" customWidth="1"/>
    <col min="14533" max="14564" width="6.625" style="4" customWidth="1"/>
    <col min="14565" max="14786" width="9" style="4"/>
    <col min="14787" max="14787" width="4.625" style="4" customWidth="1"/>
    <col min="14788" max="14788" width="3.625" style="4" customWidth="1"/>
    <col min="14789" max="14820" width="6.625" style="4" customWidth="1"/>
    <col min="14821" max="15042" width="9" style="4"/>
    <col min="15043" max="15043" width="4.625" style="4" customWidth="1"/>
    <col min="15044" max="15044" width="3.625" style="4" customWidth="1"/>
    <col min="15045" max="15076" width="6.625" style="4" customWidth="1"/>
    <col min="15077" max="15298" width="9" style="4"/>
    <col min="15299" max="15299" width="4.625" style="4" customWidth="1"/>
    <col min="15300" max="15300" width="3.625" style="4" customWidth="1"/>
    <col min="15301" max="15332" width="6.625" style="4" customWidth="1"/>
    <col min="15333" max="15554" width="9" style="4"/>
    <col min="15555" max="15555" width="4.625" style="4" customWidth="1"/>
    <col min="15556" max="15556" width="3.625" style="4" customWidth="1"/>
    <col min="15557" max="15588" width="6.625" style="4" customWidth="1"/>
    <col min="15589" max="15810" width="9" style="4"/>
    <col min="15811" max="15811" width="4.625" style="4" customWidth="1"/>
    <col min="15812" max="15812" width="3.625" style="4" customWidth="1"/>
    <col min="15813" max="15844" width="6.625" style="4" customWidth="1"/>
    <col min="15845" max="16066" width="9" style="4"/>
    <col min="16067" max="16067" width="4.625" style="4" customWidth="1"/>
    <col min="16068" max="16068" width="3.625" style="4" customWidth="1"/>
    <col min="16069" max="16100" width="6.625" style="4" customWidth="1"/>
    <col min="16101" max="16322" width="9" style="4"/>
    <col min="16323" max="16341" width="8.875" style="4" customWidth="1"/>
    <col min="16342" max="16384" width="9" style="4"/>
  </cols>
  <sheetData>
    <row r="1" spans="1:27" ht="30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233</v>
      </c>
      <c r="AA2" s="6"/>
    </row>
    <row r="3" spans="1:27" ht="32.25">
      <c r="A3" s="5"/>
      <c r="C3" s="83" t="s">
        <v>234</v>
      </c>
      <c r="G3" s="84"/>
      <c r="H3" s="84"/>
      <c r="I3" s="84"/>
      <c r="J3" s="84"/>
      <c r="P3" s="7"/>
      <c r="Q3" s="7"/>
      <c r="R3" s="7"/>
      <c r="U3" s="8"/>
      <c r="V3" s="8"/>
      <c r="AA3" s="6"/>
    </row>
    <row r="4" spans="1:27" ht="15" customHeight="1">
      <c r="A4" s="5"/>
      <c r="B4" s="83"/>
      <c r="G4" s="84"/>
      <c r="H4" s="84"/>
      <c r="I4" s="84"/>
      <c r="J4" s="84"/>
      <c r="P4" s="7"/>
      <c r="Q4" s="7"/>
      <c r="R4" s="7"/>
      <c r="U4" s="8"/>
      <c r="V4" s="8"/>
      <c r="AA4" s="6"/>
    </row>
    <row r="5" spans="1:27" s="10" customFormat="1" ht="30" customHeight="1">
      <c r="A5" s="9" t="s">
        <v>0</v>
      </c>
      <c r="G5" s="83" t="s">
        <v>208</v>
      </c>
      <c r="S5" s="11" t="s">
        <v>129</v>
      </c>
      <c r="U5" s="12"/>
      <c r="V5" s="12"/>
      <c r="AA5" s="13"/>
    </row>
    <row r="6" spans="1:27" s="10" customFormat="1" ht="10.15" customHeight="1" thickBot="1">
      <c r="A6" s="9"/>
      <c r="G6" s="83"/>
      <c r="S6" s="11"/>
      <c r="U6" s="12"/>
      <c r="V6" s="12"/>
      <c r="AA6" s="13"/>
    </row>
    <row r="7" spans="1:27" s="10" customFormat="1" ht="30" customHeight="1" thickTop="1" thickBot="1">
      <c r="A7" s="9"/>
      <c r="E7" s="106" t="s">
        <v>178</v>
      </c>
      <c r="F7" s="107"/>
      <c r="G7" s="108" t="s">
        <v>179</v>
      </c>
      <c r="S7" s="11"/>
      <c r="U7" s="12"/>
      <c r="V7" s="12"/>
      <c r="AA7" s="13"/>
    </row>
    <row r="8" spans="1:27" ht="20.25" thickTop="1">
      <c r="A8" s="5"/>
      <c r="L8" s="14"/>
      <c r="M8" s="394"/>
      <c r="N8" s="394"/>
      <c r="U8" s="14"/>
      <c r="V8" s="14"/>
      <c r="Z8" s="47"/>
      <c r="AA8" s="48"/>
    </row>
    <row r="9" spans="1:27" ht="24.95" customHeight="1">
      <c r="A9" s="358" t="s">
        <v>2</v>
      </c>
      <c r="B9" s="359"/>
      <c r="C9" s="362" t="s">
        <v>200</v>
      </c>
      <c r="D9" s="363"/>
      <c r="E9" s="363"/>
      <c r="F9" s="364"/>
      <c r="G9" s="372" t="s">
        <v>3</v>
      </c>
      <c r="H9" s="373"/>
      <c r="I9" s="373"/>
      <c r="J9" s="373"/>
      <c r="K9" s="373"/>
      <c r="L9" s="374"/>
      <c r="M9" s="411" t="s">
        <v>195</v>
      </c>
      <c r="N9" s="412"/>
      <c r="O9" s="412"/>
      <c r="P9" s="412"/>
      <c r="Q9" s="412"/>
      <c r="R9" s="412"/>
      <c r="S9" s="413"/>
      <c r="T9" s="395" t="s">
        <v>195</v>
      </c>
      <c r="U9" s="396"/>
      <c r="V9" s="396"/>
      <c r="W9" s="396"/>
      <c r="X9" s="396"/>
      <c r="Y9" s="397"/>
      <c r="Z9" s="358" t="s">
        <v>2</v>
      </c>
      <c r="AA9" s="359"/>
    </row>
    <row r="10" spans="1:27" ht="24.95" customHeight="1">
      <c r="A10" s="353" t="s">
        <v>4</v>
      </c>
      <c r="B10" s="354"/>
      <c r="C10" s="365"/>
      <c r="D10" s="366"/>
      <c r="E10" s="366"/>
      <c r="F10" s="367"/>
      <c r="G10" s="375" t="s">
        <v>197</v>
      </c>
      <c r="H10" s="376"/>
      <c r="I10" s="376"/>
      <c r="J10" s="376"/>
      <c r="K10" s="376"/>
      <c r="L10" s="377"/>
      <c r="M10" s="402" t="s">
        <v>194</v>
      </c>
      <c r="N10" s="403"/>
      <c r="O10" s="403"/>
      <c r="P10" s="403"/>
      <c r="Q10" s="403"/>
      <c r="R10" s="403"/>
      <c r="S10" s="404"/>
      <c r="T10" s="375" t="s">
        <v>196</v>
      </c>
      <c r="U10" s="376"/>
      <c r="V10" s="376"/>
      <c r="W10" s="376"/>
      <c r="X10" s="376"/>
      <c r="Y10" s="398"/>
      <c r="Z10" s="353" t="s">
        <v>4</v>
      </c>
      <c r="AA10" s="354"/>
    </row>
    <row r="11" spans="1:27" ht="30" customHeight="1">
      <c r="A11" s="360" t="s">
        <v>5</v>
      </c>
      <c r="B11" s="361"/>
      <c r="C11" s="85" t="s">
        <v>6</v>
      </c>
      <c r="D11" s="85" t="s">
        <v>7</v>
      </c>
      <c r="E11" s="85" t="s">
        <v>8</v>
      </c>
      <c r="F11" s="89" t="s">
        <v>9</v>
      </c>
      <c r="G11" s="87" t="s">
        <v>6</v>
      </c>
      <c r="H11" s="85" t="s">
        <v>7</v>
      </c>
      <c r="I11" s="89" t="s">
        <v>8</v>
      </c>
      <c r="J11" s="85" t="s">
        <v>9</v>
      </c>
      <c r="K11" s="85" t="s">
        <v>96</v>
      </c>
      <c r="L11" s="89" t="s">
        <v>173</v>
      </c>
      <c r="M11" s="87" t="s">
        <v>6</v>
      </c>
      <c r="N11" s="85" t="s">
        <v>7</v>
      </c>
      <c r="O11" s="89" t="s">
        <v>8</v>
      </c>
      <c r="P11" s="85" t="s">
        <v>9</v>
      </c>
      <c r="Q11" s="85" t="s">
        <v>96</v>
      </c>
      <c r="R11" s="89" t="s">
        <v>173</v>
      </c>
      <c r="S11" s="89" t="s">
        <v>177</v>
      </c>
      <c r="T11" s="90" t="s">
        <v>6</v>
      </c>
      <c r="U11" s="85" t="s">
        <v>7</v>
      </c>
      <c r="V11" s="89" t="s">
        <v>8</v>
      </c>
      <c r="W11" s="85" t="s">
        <v>9</v>
      </c>
      <c r="X11" s="85" t="s">
        <v>96</v>
      </c>
      <c r="Y11" s="85" t="s">
        <v>173</v>
      </c>
      <c r="Z11" s="360" t="s">
        <v>216</v>
      </c>
      <c r="AA11" s="361"/>
    </row>
    <row r="12" spans="1:27" ht="35.1" customHeight="1" thickBot="1">
      <c r="A12" s="15">
        <v>1</v>
      </c>
      <c r="B12" s="136" t="s">
        <v>95</v>
      </c>
      <c r="C12" s="368" t="s">
        <v>241</v>
      </c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69"/>
      <c r="V12" s="369"/>
      <c r="W12" s="369"/>
      <c r="X12" s="369"/>
      <c r="Y12" s="369"/>
      <c r="Z12" s="15">
        <v>1</v>
      </c>
      <c r="AA12" s="136" t="s">
        <v>95</v>
      </c>
    </row>
    <row r="13" spans="1:27" ht="35.1" customHeight="1" thickTop="1" thickBot="1">
      <c r="A13" s="16">
        <v>2</v>
      </c>
      <c r="B13" s="17" t="s">
        <v>82</v>
      </c>
      <c r="C13" s="370" t="s">
        <v>242</v>
      </c>
      <c r="D13" s="371"/>
      <c r="E13" s="392" t="s">
        <v>294</v>
      </c>
      <c r="F13" s="393"/>
      <c r="G13" s="93" t="s">
        <v>226</v>
      </c>
      <c r="H13" s="179"/>
      <c r="I13" s="166"/>
      <c r="J13" s="166"/>
      <c r="K13" s="71"/>
      <c r="L13" s="173"/>
      <c r="M13" s="102" t="s">
        <v>158</v>
      </c>
      <c r="N13" s="67" t="s">
        <v>146</v>
      </c>
      <c r="O13" s="166"/>
      <c r="P13" s="166"/>
      <c r="Q13" s="74" t="s">
        <v>162</v>
      </c>
      <c r="R13" s="116" t="s">
        <v>48</v>
      </c>
      <c r="S13" s="170"/>
      <c r="T13" s="168"/>
      <c r="U13" s="67" t="s">
        <v>218</v>
      </c>
      <c r="V13" s="166"/>
      <c r="W13" s="71"/>
      <c r="X13" s="74" t="s">
        <v>156</v>
      </c>
      <c r="Y13" s="162"/>
      <c r="Z13" s="16">
        <v>2</v>
      </c>
      <c r="AA13" s="17" t="s">
        <v>82</v>
      </c>
    </row>
    <row r="14" spans="1:27" ht="35.1" customHeight="1" thickTop="1" thickBot="1">
      <c r="A14" s="16">
        <v>3</v>
      </c>
      <c r="B14" s="17" t="s">
        <v>84</v>
      </c>
      <c r="C14" s="63" t="s">
        <v>245</v>
      </c>
      <c r="D14" s="46"/>
      <c r="E14" s="46"/>
      <c r="F14" s="46"/>
      <c r="G14" s="124" t="s">
        <v>89</v>
      </c>
      <c r="H14" s="93" t="s">
        <v>227</v>
      </c>
      <c r="I14" s="167"/>
      <c r="J14" s="178"/>
      <c r="K14" s="71"/>
      <c r="L14" s="174"/>
      <c r="M14" s="124" t="s">
        <v>165</v>
      </c>
      <c r="N14" s="93" t="s">
        <v>229</v>
      </c>
      <c r="O14" s="167"/>
      <c r="P14" s="166"/>
      <c r="Q14" s="116" t="s">
        <v>180</v>
      </c>
      <c r="R14" s="135" t="s">
        <v>223</v>
      </c>
      <c r="S14" s="171"/>
      <c r="T14" s="124" t="s">
        <v>168</v>
      </c>
      <c r="U14" s="93" t="s">
        <v>230</v>
      </c>
      <c r="V14" s="166"/>
      <c r="W14" s="71"/>
      <c r="X14" s="71"/>
      <c r="Y14" s="163" t="s">
        <v>225</v>
      </c>
      <c r="Z14" s="16">
        <v>3</v>
      </c>
      <c r="AA14" s="17" t="s">
        <v>84</v>
      </c>
    </row>
    <row r="15" spans="1:27" ht="35.1" customHeight="1" thickTop="1" thickBot="1">
      <c r="A15" s="18">
        <v>4</v>
      </c>
      <c r="B15" s="17" t="s">
        <v>87</v>
      </c>
      <c r="C15" s="55"/>
      <c r="D15" s="46"/>
      <c r="E15" s="46"/>
      <c r="F15" s="46"/>
      <c r="G15" s="131" t="s">
        <v>211</v>
      </c>
      <c r="I15" s="102" t="s">
        <v>204</v>
      </c>
      <c r="J15" s="166"/>
      <c r="K15" s="71"/>
      <c r="L15" s="175"/>
      <c r="M15" s="102" t="s">
        <v>176</v>
      </c>
      <c r="N15" s="93" t="s">
        <v>228</v>
      </c>
      <c r="O15" s="131" t="s">
        <v>185</v>
      </c>
      <c r="P15" s="166"/>
      <c r="Q15" s="74" t="s">
        <v>73</v>
      </c>
      <c r="R15" s="71"/>
      <c r="S15" s="170"/>
      <c r="T15" s="131" t="s">
        <v>212</v>
      </c>
      <c r="V15" s="71"/>
      <c r="W15" s="67" t="s">
        <v>148</v>
      </c>
      <c r="X15" s="74" t="s">
        <v>160</v>
      </c>
      <c r="Y15" s="164"/>
      <c r="Z15" s="18">
        <v>4</v>
      </c>
      <c r="AA15" s="17" t="s">
        <v>87</v>
      </c>
    </row>
    <row r="16" spans="1:27" ht="35.1" customHeight="1" thickTop="1" thickBot="1">
      <c r="A16" s="16">
        <v>5</v>
      </c>
      <c r="B16" s="17" t="s">
        <v>88</v>
      </c>
      <c r="C16" s="63" t="s">
        <v>284</v>
      </c>
      <c r="D16" s="46"/>
      <c r="E16" s="46"/>
      <c r="F16" s="46"/>
      <c r="G16" s="94" t="s">
        <v>220</v>
      </c>
      <c r="H16" s="101" t="s">
        <v>209</v>
      </c>
      <c r="I16" s="115" t="s">
        <v>163</v>
      </c>
      <c r="J16" s="166"/>
      <c r="K16" s="71"/>
      <c r="L16" s="174"/>
      <c r="M16" s="94" t="s">
        <v>231</v>
      </c>
      <c r="N16" s="101" t="s">
        <v>181</v>
      </c>
      <c r="O16" s="219" t="s">
        <v>285</v>
      </c>
      <c r="P16" s="169" t="s">
        <v>224</v>
      </c>
      <c r="Q16" s="71"/>
      <c r="R16" s="71"/>
      <c r="S16" s="171"/>
      <c r="T16" s="115" t="s">
        <v>166</v>
      </c>
      <c r="U16" s="94" t="s">
        <v>203</v>
      </c>
      <c r="V16" s="167"/>
      <c r="W16" s="71"/>
      <c r="X16" s="71"/>
      <c r="Y16" s="164"/>
      <c r="Z16" s="16">
        <v>5</v>
      </c>
      <c r="AA16" s="17" t="s">
        <v>88</v>
      </c>
    </row>
    <row r="17" spans="1:27" ht="35.1" customHeight="1" thickTop="1" thickBot="1">
      <c r="A17" s="19">
        <v>6</v>
      </c>
      <c r="B17" s="17" t="s">
        <v>90</v>
      </c>
      <c r="C17" s="63" t="s">
        <v>246</v>
      </c>
      <c r="D17" s="46"/>
      <c r="E17" s="46"/>
      <c r="F17" s="46"/>
      <c r="G17" s="101" t="s">
        <v>183</v>
      </c>
      <c r="H17" s="104" t="s">
        <v>150</v>
      </c>
      <c r="I17" s="115" t="s">
        <v>83</v>
      </c>
      <c r="J17" s="166"/>
      <c r="K17" s="71"/>
      <c r="L17" s="176"/>
      <c r="M17" s="115" t="s">
        <v>161</v>
      </c>
      <c r="N17" s="104" t="s">
        <v>213</v>
      </c>
      <c r="O17" s="46"/>
      <c r="P17" s="71"/>
      <c r="Q17" s="74" t="s">
        <v>159</v>
      </c>
      <c r="R17" s="71"/>
      <c r="S17" s="170"/>
      <c r="T17" s="101" t="s">
        <v>232</v>
      </c>
      <c r="U17" s="104" t="s">
        <v>215</v>
      </c>
      <c r="V17" s="154" t="s">
        <v>270</v>
      </c>
      <c r="X17" s="71"/>
      <c r="Y17" s="164"/>
      <c r="Z17" s="19">
        <v>6</v>
      </c>
      <c r="AA17" s="17" t="s">
        <v>90</v>
      </c>
    </row>
    <row r="18" spans="1:27" ht="35.1" customHeight="1" thickTop="1" thickBot="1">
      <c r="A18" s="16">
        <v>7</v>
      </c>
      <c r="B18" s="137" t="s">
        <v>94</v>
      </c>
      <c r="C18" s="63" t="s">
        <v>269</v>
      </c>
      <c r="D18" s="46"/>
      <c r="E18" s="46"/>
      <c r="F18" s="46"/>
      <c r="G18" s="155" t="s">
        <v>271</v>
      </c>
      <c r="H18" s="115" t="s">
        <v>181</v>
      </c>
      <c r="I18" s="46"/>
      <c r="J18" s="165"/>
      <c r="K18" s="165"/>
      <c r="L18" s="177"/>
      <c r="M18" s="115" t="s">
        <v>161</v>
      </c>
      <c r="N18" s="102" t="s">
        <v>168</v>
      </c>
      <c r="O18" s="219" t="s">
        <v>285</v>
      </c>
      <c r="P18" s="165"/>
      <c r="Q18" s="165"/>
      <c r="R18" s="165"/>
      <c r="S18" s="172"/>
      <c r="T18" s="102" t="s">
        <v>176</v>
      </c>
      <c r="U18" s="115" t="s">
        <v>275</v>
      </c>
      <c r="V18" s="46"/>
      <c r="W18" s="165"/>
      <c r="X18" s="165"/>
      <c r="Y18" s="162"/>
      <c r="Z18" s="16">
        <v>7</v>
      </c>
      <c r="AA18" s="137" t="s">
        <v>94</v>
      </c>
    </row>
    <row r="19" spans="1:27" ht="35.1" customHeight="1" thickTop="1" thickBot="1">
      <c r="A19" s="19">
        <v>8</v>
      </c>
      <c r="B19" s="137" t="s">
        <v>95</v>
      </c>
      <c r="C19" s="64"/>
      <c r="D19" s="46"/>
      <c r="E19" s="46"/>
      <c r="F19" s="46"/>
      <c r="G19" s="46"/>
      <c r="H19" s="46"/>
      <c r="I19" s="46"/>
      <c r="J19" s="46"/>
      <c r="K19" s="46"/>
      <c r="L19" s="80"/>
      <c r="M19" s="149"/>
      <c r="N19" s="150"/>
      <c r="O19" s="77"/>
      <c r="P19" s="77"/>
      <c r="Q19" s="80"/>
      <c r="R19" s="80"/>
      <c r="S19" s="79"/>
      <c r="U19" s="151"/>
      <c r="V19" s="77"/>
      <c r="W19" s="80"/>
      <c r="X19" s="76"/>
      <c r="Y19" s="78"/>
      <c r="Z19" s="19">
        <v>8</v>
      </c>
      <c r="AA19" s="137" t="s">
        <v>95</v>
      </c>
    </row>
    <row r="20" spans="1:27" ht="35.1" customHeight="1" thickTop="1" thickBot="1">
      <c r="A20" s="19">
        <v>9</v>
      </c>
      <c r="B20" s="17" t="s">
        <v>82</v>
      </c>
      <c r="C20" s="63" t="s">
        <v>268</v>
      </c>
      <c r="D20" s="46"/>
      <c r="E20" s="46"/>
      <c r="F20" s="46"/>
      <c r="G20" s="93" t="s">
        <v>226</v>
      </c>
      <c r="I20" s="71"/>
      <c r="K20" s="71"/>
      <c r="L20" s="173"/>
      <c r="M20" s="342" t="s">
        <v>309</v>
      </c>
      <c r="N20" s="343" t="s">
        <v>318</v>
      </c>
      <c r="O20" s="102" t="s">
        <v>158</v>
      </c>
      <c r="Q20" s="71"/>
      <c r="R20" s="116" t="s">
        <v>48</v>
      </c>
      <c r="S20" s="176"/>
      <c r="T20" s="343" t="s">
        <v>319</v>
      </c>
      <c r="U20" s="342" t="s">
        <v>320</v>
      </c>
      <c r="V20" s="180"/>
      <c r="W20" s="71"/>
      <c r="X20" s="71"/>
      <c r="Y20" s="162"/>
      <c r="Z20" s="19">
        <v>9</v>
      </c>
      <c r="AA20" s="17" t="s">
        <v>82</v>
      </c>
    </row>
    <row r="21" spans="1:27" ht="35.1" customHeight="1" thickTop="1" thickBot="1">
      <c r="A21" s="20">
        <v>10</v>
      </c>
      <c r="B21" s="17" t="s">
        <v>84</v>
      </c>
      <c r="C21" s="63"/>
      <c r="D21" s="46"/>
      <c r="E21" s="46"/>
      <c r="F21" s="46"/>
      <c r="G21" s="124" t="s">
        <v>89</v>
      </c>
      <c r="H21" s="93" t="s">
        <v>227</v>
      </c>
      <c r="J21" s="165"/>
      <c r="K21" s="71"/>
      <c r="L21" s="174"/>
      <c r="M21" s="124" t="s">
        <v>165</v>
      </c>
      <c r="N21" s="93" t="s">
        <v>229</v>
      </c>
      <c r="O21" s="343" t="s">
        <v>322</v>
      </c>
      <c r="P21" s="180"/>
      <c r="Q21" s="116" t="s">
        <v>180</v>
      </c>
      <c r="R21" s="135" t="s">
        <v>223</v>
      </c>
      <c r="S21" s="174"/>
      <c r="T21" s="124" t="s">
        <v>168</v>
      </c>
      <c r="U21" s="93" t="s">
        <v>230</v>
      </c>
      <c r="V21" s="180"/>
      <c r="W21" s="71"/>
      <c r="X21" s="71"/>
      <c r="Y21" s="163" t="s">
        <v>225</v>
      </c>
      <c r="Z21" s="20">
        <v>10</v>
      </c>
      <c r="AA21" s="17" t="s">
        <v>84</v>
      </c>
    </row>
    <row r="22" spans="1:27" ht="35.1" customHeight="1" thickTop="1" thickBot="1">
      <c r="A22" s="20">
        <v>11</v>
      </c>
      <c r="B22" s="17" t="s">
        <v>87</v>
      </c>
      <c r="C22" s="55"/>
      <c r="D22" s="46"/>
      <c r="E22" s="46"/>
      <c r="F22" s="46"/>
      <c r="G22" s="131" t="s">
        <v>211</v>
      </c>
      <c r="I22" s="102" t="s">
        <v>204</v>
      </c>
      <c r="K22" s="71"/>
      <c r="L22" s="175"/>
      <c r="M22" s="102" t="s">
        <v>176</v>
      </c>
      <c r="N22" s="93" t="s">
        <v>228</v>
      </c>
      <c r="O22" s="131" t="s">
        <v>185</v>
      </c>
      <c r="Q22" s="71"/>
      <c r="R22" s="71"/>
      <c r="S22" s="176"/>
      <c r="T22" s="131" t="s">
        <v>212</v>
      </c>
      <c r="U22" s="93" t="s">
        <v>230</v>
      </c>
      <c r="V22" s="180"/>
      <c r="W22" s="71"/>
      <c r="X22" s="74" t="s">
        <v>160</v>
      </c>
      <c r="Y22" s="164"/>
      <c r="Z22" s="20">
        <v>11</v>
      </c>
      <c r="AA22" s="17" t="s">
        <v>87</v>
      </c>
    </row>
    <row r="23" spans="1:27" ht="35.1" customHeight="1" thickTop="1" thickBot="1">
      <c r="A23" s="20">
        <v>12</v>
      </c>
      <c r="B23" s="17" t="s">
        <v>88</v>
      </c>
      <c r="C23" s="63" t="s">
        <v>284</v>
      </c>
      <c r="D23" s="46"/>
      <c r="E23" s="46"/>
      <c r="F23" s="46"/>
      <c r="G23" s="94" t="s">
        <v>220</v>
      </c>
      <c r="H23" s="101" t="s">
        <v>209</v>
      </c>
      <c r="I23" s="115" t="s">
        <v>163</v>
      </c>
      <c r="J23" s="180"/>
      <c r="K23" s="71"/>
      <c r="L23" s="174"/>
      <c r="M23" s="94" t="s">
        <v>231</v>
      </c>
      <c r="N23" s="101" t="s">
        <v>181</v>
      </c>
      <c r="O23" s="219" t="s">
        <v>285</v>
      </c>
      <c r="P23" s="169" t="s">
        <v>224</v>
      </c>
      <c r="Q23" s="123" t="s">
        <v>210</v>
      </c>
      <c r="R23" s="71"/>
      <c r="S23" s="174"/>
      <c r="T23" s="115" t="s">
        <v>166</v>
      </c>
      <c r="U23" s="94" t="s">
        <v>203</v>
      </c>
      <c r="W23" s="71"/>
      <c r="X23" s="71"/>
      <c r="Y23" s="164"/>
      <c r="Z23" s="20">
        <v>12</v>
      </c>
      <c r="AA23" s="17" t="s">
        <v>88</v>
      </c>
    </row>
    <row r="24" spans="1:27" ht="35.1" customHeight="1" thickTop="1" thickBot="1">
      <c r="A24" s="21">
        <v>13</v>
      </c>
      <c r="B24" s="17" t="s">
        <v>90</v>
      </c>
      <c r="C24" s="63" t="s">
        <v>248</v>
      </c>
      <c r="D24" s="46"/>
      <c r="E24" s="46"/>
      <c r="F24" s="46"/>
      <c r="G24" s="101" t="s">
        <v>183</v>
      </c>
      <c r="H24" s="104" t="s">
        <v>150</v>
      </c>
      <c r="I24" s="115" t="s">
        <v>83</v>
      </c>
      <c r="K24" s="71"/>
      <c r="L24" s="176"/>
      <c r="M24" s="115" t="s">
        <v>161</v>
      </c>
      <c r="N24" s="101" t="s">
        <v>167</v>
      </c>
      <c r="O24" s="104" t="s">
        <v>213</v>
      </c>
      <c r="Q24" s="74" t="s">
        <v>159</v>
      </c>
      <c r="R24" s="71"/>
      <c r="S24" s="176"/>
      <c r="T24" s="101" t="s">
        <v>232</v>
      </c>
      <c r="U24" s="104" t="s">
        <v>215</v>
      </c>
      <c r="V24" s="115" t="s">
        <v>222</v>
      </c>
      <c r="W24" s="166"/>
      <c r="X24" s="71"/>
      <c r="Y24" s="164"/>
      <c r="Z24" s="21">
        <v>13</v>
      </c>
      <c r="AA24" s="17" t="s">
        <v>90</v>
      </c>
    </row>
    <row r="25" spans="1:27" ht="35.1" customHeight="1" thickTop="1" thickBot="1">
      <c r="A25" s="21">
        <v>14</v>
      </c>
      <c r="B25" s="137" t="s">
        <v>94</v>
      </c>
      <c r="C25" s="63" t="s">
        <v>273</v>
      </c>
      <c r="D25" s="46"/>
      <c r="E25" s="46"/>
      <c r="F25" s="46"/>
      <c r="G25" s="154" t="s">
        <v>272</v>
      </c>
      <c r="I25" s="181"/>
      <c r="J25" s="46"/>
      <c r="K25" s="165"/>
      <c r="L25" s="177"/>
      <c r="M25" s="115" t="s">
        <v>232</v>
      </c>
      <c r="N25" s="156" t="s">
        <v>276</v>
      </c>
      <c r="O25" s="222" t="s">
        <v>285</v>
      </c>
      <c r="P25" s="165"/>
      <c r="Q25" s="165"/>
      <c r="R25" s="165"/>
      <c r="S25" s="177"/>
      <c r="T25" s="115" t="s">
        <v>161</v>
      </c>
      <c r="V25" s="181"/>
      <c r="W25" s="165"/>
      <c r="X25" s="165"/>
      <c r="Y25" s="162"/>
      <c r="Z25" s="21">
        <v>14</v>
      </c>
      <c r="AA25" s="137" t="s">
        <v>94</v>
      </c>
    </row>
    <row r="26" spans="1:27" ht="35.1" customHeight="1" thickTop="1" thickBot="1">
      <c r="A26" s="20">
        <v>15</v>
      </c>
      <c r="B26" s="137" t="s">
        <v>95</v>
      </c>
      <c r="C26" s="143" t="s">
        <v>239</v>
      </c>
      <c r="D26" s="46"/>
      <c r="E26" s="46"/>
      <c r="F26" s="46"/>
      <c r="G26" s="46"/>
      <c r="H26" s="46"/>
      <c r="I26" s="46"/>
      <c r="J26" s="46"/>
      <c r="K26" s="46"/>
      <c r="L26" s="80"/>
      <c r="M26" s="77"/>
      <c r="N26" s="76"/>
      <c r="P26" s="77"/>
      <c r="Q26" s="80"/>
      <c r="R26" s="80"/>
      <c r="S26" s="79"/>
      <c r="U26" s="77"/>
      <c r="V26" s="77"/>
      <c r="W26" s="80"/>
      <c r="X26" s="76"/>
      <c r="Y26" s="78"/>
      <c r="Z26" s="20">
        <v>15</v>
      </c>
      <c r="AA26" s="137" t="s">
        <v>95</v>
      </c>
    </row>
    <row r="27" spans="1:27" ht="35.1" customHeight="1" thickTop="1" thickBot="1">
      <c r="A27" s="20">
        <v>16</v>
      </c>
      <c r="B27" s="17" t="s">
        <v>82</v>
      </c>
      <c r="C27" s="63"/>
      <c r="D27" s="46"/>
      <c r="E27" s="46"/>
      <c r="F27" s="46"/>
      <c r="G27" s="93" t="s">
        <v>226</v>
      </c>
      <c r="I27" s="71"/>
      <c r="J27" s="41"/>
      <c r="K27" s="71"/>
      <c r="L27" s="173"/>
      <c r="M27" s="102" t="s">
        <v>158</v>
      </c>
      <c r="N27" s="67" t="s">
        <v>146</v>
      </c>
      <c r="O27" s="185"/>
      <c r="Q27" s="74" t="s">
        <v>162</v>
      </c>
      <c r="R27" s="116" t="s">
        <v>48</v>
      </c>
      <c r="S27" s="170"/>
      <c r="T27" s="168"/>
      <c r="U27" s="67" t="s">
        <v>218</v>
      </c>
      <c r="W27" s="71"/>
      <c r="X27" s="74" t="s">
        <v>156</v>
      </c>
      <c r="Y27" s="184" t="s">
        <v>186</v>
      </c>
      <c r="Z27" s="20">
        <v>16</v>
      </c>
      <c r="AA27" s="17" t="s">
        <v>82</v>
      </c>
    </row>
    <row r="28" spans="1:27" ht="35.1" customHeight="1" thickTop="1" thickBot="1">
      <c r="A28" s="20">
        <v>17</v>
      </c>
      <c r="B28" s="17" t="s">
        <v>84</v>
      </c>
      <c r="C28" s="55"/>
      <c r="D28" s="46"/>
      <c r="E28" s="46"/>
      <c r="F28" s="46"/>
      <c r="G28" s="124" t="s">
        <v>89</v>
      </c>
      <c r="H28" s="93" t="s">
        <v>227</v>
      </c>
      <c r="J28" s="165"/>
      <c r="K28" s="71"/>
      <c r="L28" s="174"/>
      <c r="M28" s="124" t="s">
        <v>165</v>
      </c>
      <c r="N28" s="93" t="s">
        <v>229</v>
      </c>
      <c r="O28" s="343" t="s">
        <v>321</v>
      </c>
      <c r="P28" s="180"/>
      <c r="Q28" s="71"/>
      <c r="R28" s="135" t="s">
        <v>223</v>
      </c>
      <c r="S28" s="171"/>
      <c r="T28" s="124" t="s">
        <v>168</v>
      </c>
      <c r="U28" s="93" t="s">
        <v>230</v>
      </c>
      <c r="V28" s="180"/>
      <c r="W28" s="71"/>
      <c r="X28" s="71"/>
      <c r="Y28" s="163" t="s">
        <v>225</v>
      </c>
      <c r="Z28" s="20">
        <v>17</v>
      </c>
      <c r="AA28" s="17" t="s">
        <v>84</v>
      </c>
    </row>
    <row r="29" spans="1:27" ht="35.1" customHeight="1" thickTop="1" thickBot="1">
      <c r="A29" s="22">
        <v>18</v>
      </c>
      <c r="B29" s="17" t="s">
        <v>87</v>
      </c>
      <c r="C29" s="63" t="s">
        <v>253</v>
      </c>
      <c r="D29" s="46"/>
      <c r="E29" s="46"/>
      <c r="F29" s="46"/>
      <c r="G29" s="131" t="s">
        <v>211</v>
      </c>
      <c r="I29" s="102" t="s">
        <v>204</v>
      </c>
      <c r="K29" s="71"/>
      <c r="L29" s="175"/>
      <c r="M29" s="102" t="s">
        <v>176</v>
      </c>
      <c r="N29" s="93" t="s">
        <v>228</v>
      </c>
      <c r="O29" s="131" t="s">
        <v>185</v>
      </c>
      <c r="Q29" s="74" t="s">
        <v>73</v>
      </c>
      <c r="R29" s="71"/>
      <c r="S29" s="170"/>
      <c r="T29" s="131" t="s">
        <v>212</v>
      </c>
      <c r="U29" s="155" t="s">
        <v>277</v>
      </c>
      <c r="W29" s="182" t="s">
        <v>148</v>
      </c>
      <c r="X29" s="74" t="s">
        <v>160</v>
      </c>
      <c r="Y29" s="164"/>
      <c r="Z29" s="22">
        <v>18</v>
      </c>
      <c r="AA29" s="17" t="s">
        <v>87</v>
      </c>
    </row>
    <row r="30" spans="1:27" ht="35.1" customHeight="1" thickTop="1" thickBot="1">
      <c r="A30" s="20">
        <v>19</v>
      </c>
      <c r="B30" s="17" t="s">
        <v>88</v>
      </c>
      <c r="C30" s="63" t="s">
        <v>252</v>
      </c>
      <c r="D30" s="46"/>
      <c r="E30" s="46"/>
      <c r="F30" s="159" t="s">
        <v>284</v>
      </c>
      <c r="G30" s="94" t="s">
        <v>220</v>
      </c>
      <c r="H30" s="101" t="s">
        <v>209</v>
      </c>
      <c r="I30" s="115" t="s">
        <v>163</v>
      </c>
      <c r="J30" s="180"/>
      <c r="K30" s="71"/>
      <c r="L30" s="174"/>
      <c r="M30" s="94" t="s">
        <v>231</v>
      </c>
      <c r="N30" s="101" t="s">
        <v>181</v>
      </c>
      <c r="O30" s="219" t="s">
        <v>285</v>
      </c>
      <c r="P30" s="169" t="s">
        <v>224</v>
      </c>
      <c r="Q30" s="71"/>
      <c r="R30" s="71"/>
      <c r="S30" s="171"/>
      <c r="T30" s="115" t="s">
        <v>166</v>
      </c>
      <c r="U30" s="94" t="s">
        <v>203</v>
      </c>
      <c r="V30" s="101" t="s">
        <v>275</v>
      </c>
      <c r="X30" s="71"/>
      <c r="Y30" s="164"/>
      <c r="Z30" s="20">
        <v>19</v>
      </c>
      <c r="AA30" s="17" t="s">
        <v>88</v>
      </c>
    </row>
    <row r="31" spans="1:27" ht="35.1" customHeight="1" thickTop="1" thickBot="1">
      <c r="A31" s="20">
        <v>20</v>
      </c>
      <c r="B31" s="145" t="s">
        <v>90</v>
      </c>
      <c r="C31" s="115" t="s">
        <v>167</v>
      </c>
      <c r="D31" s="157" t="s">
        <v>279</v>
      </c>
      <c r="E31" s="186"/>
      <c r="F31" s="46"/>
      <c r="G31" s="101" t="s">
        <v>183</v>
      </c>
      <c r="H31" s="104" t="s">
        <v>150</v>
      </c>
      <c r="I31" s="115" t="s">
        <v>83</v>
      </c>
      <c r="K31" s="71"/>
      <c r="L31" s="176"/>
      <c r="M31" s="115" t="s">
        <v>161</v>
      </c>
      <c r="N31" s="104" t="s">
        <v>213</v>
      </c>
      <c r="O31" s="221" t="s">
        <v>285</v>
      </c>
      <c r="P31" s="71"/>
      <c r="Q31" s="74" t="s">
        <v>159</v>
      </c>
      <c r="R31" s="71"/>
      <c r="S31" s="170"/>
      <c r="T31" s="115" t="s">
        <v>232</v>
      </c>
      <c r="U31" s="104" t="s">
        <v>215</v>
      </c>
      <c r="W31" s="183" t="s">
        <v>266</v>
      </c>
      <c r="X31" s="71"/>
      <c r="Y31" s="164"/>
      <c r="Z31" s="20">
        <v>20</v>
      </c>
      <c r="AA31" s="145" t="s">
        <v>90</v>
      </c>
    </row>
    <row r="32" spans="1:27" ht="35.1" customHeight="1" thickTop="1">
      <c r="A32" s="21">
        <v>21</v>
      </c>
      <c r="B32" s="137" t="s">
        <v>94</v>
      </c>
      <c r="C32" s="62" t="s">
        <v>238</v>
      </c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56"/>
      <c r="Z32" s="21">
        <v>21</v>
      </c>
      <c r="AA32" s="137" t="s">
        <v>94</v>
      </c>
    </row>
    <row r="33" spans="1:27" ht="35.1" customHeight="1" thickBot="1">
      <c r="A33" s="20">
        <v>22</v>
      </c>
      <c r="B33" s="137" t="s">
        <v>95</v>
      </c>
      <c r="C33" s="63"/>
      <c r="D33" s="46"/>
      <c r="E33" s="46"/>
      <c r="F33" s="46"/>
      <c r="G33" s="46"/>
      <c r="H33" s="46"/>
      <c r="I33" s="46"/>
      <c r="J33" s="46"/>
      <c r="K33" s="46"/>
      <c r="L33" s="80"/>
      <c r="M33" s="79"/>
      <c r="N33" s="76"/>
      <c r="O33" s="76"/>
      <c r="P33" s="77"/>
      <c r="Q33" s="80"/>
      <c r="R33" s="80"/>
      <c r="S33" s="79"/>
      <c r="U33" s="77"/>
      <c r="V33" s="77"/>
      <c r="W33" s="80"/>
      <c r="X33" s="76"/>
      <c r="Y33" s="78"/>
      <c r="Z33" s="20">
        <v>22</v>
      </c>
      <c r="AA33" s="137" t="s">
        <v>95</v>
      </c>
    </row>
    <row r="34" spans="1:27" ht="35.1" customHeight="1" thickTop="1" thickBot="1">
      <c r="A34" s="20">
        <v>23</v>
      </c>
      <c r="B34" s="17" t="s">
        <v>82</v>
      </c>
      <c r="C34" s="55"/>
      <c r="D34" s="46"/>
      <c r="E34" s="46"/>
      <c r="F34" s="46"/>
      <c r="G34" s="93" t="s">
        <v>226</v>
      </c>
      <c r="I34" s="71"/>
      <c r="J34" s="123" t="s">
        <v>175</v>
      </c>
      <c r="K34" s="71"/>
      <c r="L34" s="173"/>
      <c r="M34" s="102" t="s">
        <v>158</v>
      </c>
      <c r="N34" s="67" t="s">
        <v>146</v>
      </c>
      <c r="P34" s="71"/>
      <c r="Q34" s="74" t="s">
        <v>162</v>
      </c>
      <c r="R34" s="190"/>
      <c r="S34" s="191"/>
      <c r="T34" s="168"/>
      <c r="U34" s="67" t="s">
        <v>218</v>
      </c>
      <c r="W34" s="71"/>
      <c r="X34" s="74" t="s">
        <v>156</v>
      </c>
      <c r="Y34" s="188" t="s">
        <v>264</v>
      </c>
      <c r="Z34" s="20">
        <v>23</v>
      </c>
      <c r="AA34" s="17" t="s">
        <v>82</v>
      </c>
    </row>
    <row r="35" spans="1:27" ht="35.1" customHeight="1" thickTop="1" thickBot="1">
      <c r="A35" s="20">
        <v>24</v>
      </c>
      <c r="B35" s="17" t="s">
        <v>84</v>
      </c>
      <c r="C35" s="63" t="s">
        <v>293</v>
      </c>
      <c r="D35" s="46"/>
      <c r="E35" s="46"/>
      <c r="F35" s="46"/>
      <c r="G35" s="124" t="s">
        <v>89</v>
      </c>
      <c r="H35" s="93" t="s">
        <v>227</v>
      </c>
      <c r="J35" s="165"/>
      <c r="K35" s="71"/>
      <c r="L35" s="174"/>
      <c r="M35" s="124" t="s">
        <v>165</v>
      </c>
      <c r="N35" s="93" t="s">
        <v>229</v>
      </c>
      <c r="O35" s="343" t="s">
        <v>326</v>
      </c>
      <c r="P35" s="166"/>
      <c r="Q35" s="71"/>
      <c r="R35" s="71"/>
      <c r="S35" s="192"/>
      <c r="T35" s="124" t="s">
        <v>168</v>
      </c>
      <c r="U35" s="93" t="s">
        <v>230</v>
      </c>
      <c r="V35" s="343" t="s">
        <v>325</v>
      </c>
      <c r="X35" s="71"/>
      <c r="Y35" s="164"/>
      <c r="Z35" s="20">
        <v>24</v>
      </c>
      <c r="AA35" s="17" t="s">
        <v>84</v>
      </c>
    </row>
    <row r="36" spans="1:27" ht="35.1" customHeight="1" thickTop="1" thickBot="1">
      <c r="A36" s="22">
        <v>25</v>
      </c>
      <c r="B36" s="17" t="s">
        <v>87</v>
      </c>
      <c r="C36" s="63" t="s">
        <v>249</v>
      </c>
      <c r="D36" s="46"/>
      <c r="E36" s="46"/>
      <c r="F36" s="46"/>
      <c r="G36" s="131" t="s">
        <v>211</v>
      </c>
      <c r="I36" s="102" t="s">
        <v>204</v>
      </c>
      <c r="K36" s="71"/>
      <c r="L36" s="175"/>
      <c r="M36" s="102" t="s">
        <v>176</v>
      </c>
      <c r="N36" s="93" t="s">
        <v>228</v>
      </c>
      <c r="O36" s="131" t="s">
        <v>185</v>
      </c>
      <c r="P36" s="166"/>
      <c r="Q36" s="74" t="s">
        <v>73</v>
      </c>
      <c r="R36" s="71"/>
      <c r="S36" s="170"/>
      <c r="T36" s="131" t="s">
        <v>212</v>
      </c>
      <c r="V36" s="189"/>
      <c r="W36" s="187" t="s">
        <v>148</v>
      </c>
      <c r="X36" s="74" t="s">
        <v>160</v>
      </c>
      <c r="Y36" s="164"/>
      <c r="Z36" s="22">
        <v>25</v>
      </c>
      <c r="AA36" s="17" t="s">
        <v>87</v>
      </c>
    </row>
    <row r="37" spans="1:27" ht="35.1" customHeight="1" thickTop="1" thickBot="1">
      <c r="A37" s="20">
        <v>26</v>
      </c>
      <c r="B37" s="17" t="s">
        <v>88</v>
      </c>
      <c r="C37" s="245" t="s">
        <v>291</v>
      </c>
      <c r="D37" s="46"/>
      <c r="E37" s="46"/>
      <c r="F37" s="159"/>
      <c r="G37" s="94" t="s">
        <v>220</v>
      </c>
      <c r="H37" s="101" t="s">
        <v>209</v>
      </c>
      <c r="I37" s="115" t="s">
        <v>163</v>
      </c>
      <c r="J37" s="246" t="s">
        <v>251</v>
      </c>
      <c r="L37" s="244" t="s">
        <v>284</v>
      </c>
      <c r="M37" s="94" t="s">
        <v>231</v>
      </c>
      <c r="N37" s="115" t="s">
        <v>232</v>
      </c>
      <c r="O37" s="101" t="s">
        <v>181</v>
      </c>
      <c r="P37" s="219" t="s">
        <v>285</v>
      </c>
      <c r="Q37" s="71"/>
      <c r="R37" s="71"/>
      <c r="S37" s="171"/>
      <c r="T37" s="115" t="s">
        <v>166</v>
      </c>
      <c r="U37" s="94" t="s">
        <v>203</v>
      </c>
      <c r="W37" s="183" t="s">
        <v>267</v>
      </c>
      <c r="X37" s="71"/>
      <c r="Y37" s="164"/>
      <c r="Z37" s="20">
        <v>26</v>
      </c>
      <c r="AA37" s="17" t="s">
        <v>88</v>
      </c>
    </row>
    <row r="38" spans="1:27" ht="35.1" customHeight="1" thickTop="1" thickBot="1">
      <c r="A38" s="160">
        <v>27</v>
      </c>
      <c r="B38" s="213" t="s">
        <v>90</v>
      </c>
      <c r="C38" s="115" t="s">
        <v>166</v>
      </c>
      <c r="D38" s="194"/>
      <c r="E38" s="195"/>
      <c r="F38" s="196"/>
      <c r="G38" s="101" t="s">
        <v>183</v>
      </c>
      <c r="H38" s="104" t="s">
        <v>150</v>
      </c>
      <c r="I38" s="115" t="s">
        <v>83</v>
      </c>
      <c r="K38" s="212" t="s">
        <v>170</v>
      </c>
      <c r="L38" s="198"/>
      <c r="M38" s="115" t="s">
        <v>161</v>
      </c>
      <c r="N38" s="104" t="s">
        <v>213</v>
      </c>
      <c r="O38" s="101" t="s">
        <v>222</v>
      </c>
      <c r="P38" s="199"/>
      <c r="Q38" s="212" t="s">
        <v>159</v>
      </c>
      <c r="R38" s="200"/>
      <c r="S38" s="201"/>
      <c r="T38" s="101" t="s">
        <v>232</v>
      </c>
      <c r="U38" s="104" t="s">
        <v>215</v>
      </c>
      <c r="V38" s="202"/>
      <c r="X38" s="200"/>
      <c r="Y38" s="203"/>
      <c r="Z38" s="160">
        <v>27</v>
      </c>
      <c r="AA38" s="213" t="s">
        <v>90</v>
      </c>
    </row>
    <row r="39" spans="1:27" ht="35.1" customHeight="1" thickTop="1" thickBot="1">
      <c r="A39" s="349">
        <v>28</v>
      </c>
      <c r="B39" s="351" t="s">
        <v>94</v>
      </c>
      <c r="C39" s="239" t="s">
        <v>287</v>
      </c>
      <c r="D39" s="197"/>
      <c r="E39" s="197"/>
      <c r="F39" s="197"/>
      <c r="G39" s="46"/>
      <c r="H39" s="46"/>
      <c r="I39" s="46"/>
      <c r="J39" s="197"/>
      <c r="K39" s="197"/>
      <c r="L39" s="197"/>
      <c r="M39" s="46"/>
      <c r="N39" s="46"/>
      <c r="O39" s="46"/>
      <c r="P39" s="197"/>
      <c r="Q39" s="197"/>
      <c r="R39" s="197"/>
      <c r="S39" s="197"/>
      <c r="T39" s="46"/>
      <c r="U39" s="46"/>
      <c r="V39" s="197"/>
      <c r="W39" s="197"/>
      <c r="X39" s="197"/>
      <c r="Y39" s="204"/>
      <c r="Z39" s="349">
        <v>28</v>
      </c>
      <c r="AA39" s="351" t="s">
        <v>94</v>
      </c>
    </row>
    <row r="40" spans="1:27" ht="35.1" customHeight="1" thickTop="1" thickBot="1">
      <c r="A40" s="350"/>
      <c r="B40" s="352"/>
      <c r="D40" s="157" t="s">
        <v>278</v>
      </c>
      <c r="E40" s="205"/>
      <c r="F40" s="206"/>
      <c r="G40" s="101" t="s">
        <v>213</v>
      </c>
      <c r="H40" s="207"/>
      <c r="I40" s="323" t="s">
        <v>300</v>
      </c>
      <c r="J40" s="208"/>
      <c r="K40" s="208"/>
      <c r="L40" s="206"/>
      <c r="M40" s="101" t="s">
        <v>166</v>
      </c>
      <c r="N40" s="93" t="s">
        <v>261</v>
      </c>
      <c r="O40" s="220" t="s">
        <v>285</v>
      </c>
      <c r="P40" s="208"/>
      <c r="Q40" s="208"/>
      <c r="R40" s="208"/>
      <c r="S40" s="206"/>
      <c r="T40" s="93" t="s">
        <v>263</v>
      </c>
      <c r="U40" s="207"/>
      <c r="V40" s="208"/>
      <c r="W40" s="211" t="s">
        <v>274</v>
      </c>
      <c r="X40" s="208"/>
      <c r="Y40" s="210"/>
      <c r="Z40" s="350"/>
      <c r="AA40" s="352"/>
    </row>
    <row r="41" spans="1:27" ht="35.1" customHeight="1" thickTop="1" thickBot="1">
      <c r="A41" s="193">
        <v>29</v>
      </c>
      <c r="B41" s="161" t="s">
        <v>95</v>
      </c>
      <c r="C41" s="63"/>
      <c r="D41" s="46"/>
      <c r="E41" s="148"/>
      <c r="F41" s="148"/>
      <c r="G41" s="46"/>
      <c r="H41" s="148"/>
      <c r="I41" s="148"/>
      <c r="J41" s="148"/>
      <c r="K41" s="148"/>
      <c r="L41" s="148"/>
      <c r="M41" s="46"/>
      <c r="N41" s="46"/>
      <c r="O41" s="148"/>
      <c r="P41" s="148"/>
      <c r="Q41" s="148"/>
      <c r="R41" s="148"/>
      <c r="S41" s="148"/>
      <c r="T41" s="46"/>
      <c r="U41" s="148"/>
      <c r="V41" s="148"/>
      <c r="W41" s="148"/>
      <c r="X41" s="148"/>
      <c r="Y41" s="209"/>
      <c r="Z41" s="193">
        <v>29</v>
      </c>
      <c r="AA41" s="161" t="s">
        <v>95</v>
      </c>
    </row>
    <row r="42" spans="1:27" ht="35.1" customHeight="1" thickTop="1" thickBot="1">
      <c r="A42" s="22">
        <v>30</v>
      </c>
      <c r="B42" s="17" t="s">
        <v>82</v>
      </c>
      <c r="C42" s="146" t="s">
        <v>258</v>
      </c>
      <c r="D42" s="46"/>
      <c r="E42" s="46"/>
      <c r="F42" s="46"/>
      <c r="G42" s="102" t="s">
        <v>153</v>
      </c>
      <c r="H42" s="185"/>
      <c r="I42" s="71"/>
      <c r="K42" s="74" t="s">
        <v>174</v>
      </c>
      <c r="L42" s="80"/>
      <c r="M42" s="102" t="s">
        <v>158</v>
      </c>
      <c r="N42" s="67" t="s">
        <v>146</v>
      </c>
      <c r="O42" s="219" t="s">
        <v>285</v>
      </c>
      <c r="P42" s="71"/>
      <c r="Q42" s="74" t="s">
        <v>162</v>
      </c>
      <c r="R42" s="71"/>
      <c r="S42" s="215"/>
      <c r="T42" s="102" t="s">
        <v>212</v>
      </c>
      <c r="U42" s="67" t="s">
        <v>218</v>
      </c>
      <c r="W42" s="71"/>
      <c r="X42" s="74" t="s">
        <v>156</v>
      </c>
      <c r="Y42" s="158" t="s">
        <v>265</v>
      </c>
      <c r="Z42" s="22">
        <v>30</v>
      </c>
      <c r="AA42" s="17" t="s">
        <v>82</v>
      </c>
    </row>
    <row r="43" spans="1:27" ht="35.1" customHeight="1" thickTop="1" thickBot="1">
      <c r="A43" s="22">
        <v>31</v>
      </c>
      <c r="B43" s="92" t="s">
        <v>84</v>
      </c>
      <c r="C43" s="146" t="s">
        <v>259</v>
      </c>
      <c r="D43" s="46"/>
      <c r="E43" s="46"/>
      <c r="F43" s="46"/>
      <c r="G43" s="218"/>
      <c r="H43" s="156" t="s">
        <v>283</v>
      </c>
      <c r="J43" s="74" t="s">
        <v>169</v>
      </c>
      <c r="K43" s="214"/>
      <c r="L43" s="81"/>
      <c r="M43" s="124" t="s">
        <v>165</v>
      </c>
      <c r="N43" s="93" t="s">
        <v>229</v>
      </c>
      <c r="O43" s="343" t="s">
        <v>323</v>
      </c>
      <c r="Q43" s="216" t="s">
        <v>180</v>
      </c>
      <c r="R43" s="214"/>
      <c r="S43" s="217"/>
      <c r="T43" s="124" t="s">
        <v>168</v>
      </c>
      <c r="U43" s="93" t="s">
        <v>230</v>
      </c>
      <c r="V43" s="343" t="s">
        <v>324</v>
      </c>
      <c r="X43" s="214"/>
      <c r="Y43" s="158" t="s">
        <v>280</v>
      </c>
      <c r="Z43" s="22">
        <v>31</v>
      </c>
      <c r="AA43" s="92" t="s">
        <v>84</v>
      </c>
    </row>
    <row r="44" spans="1:27" ht="30" customHeight="1" thickTop="1">
      <c r="A44" s="360" t="s">
        <v>5</v>
      </c>
      <c r="B44" s="361"/>
      <c r="C44" s="85" t="s">
        <v>6</v>
      </c>
      <c r="D44" s="85" t="s">
        <v>7</v>
      </c>
      <c r="E44" s="85" t="s">
        <v>8</v>
      </c>
      <c r="F44" s="89" t="s">
        <v>9</v>
      </c>
      <c r="G44" s="87" t="s">
        <v>6</v>
      </c>
      <c r="H44" s="85" t="s">
        <v>7</v>
      </c>
      <c r="I44" s="89" t="s">
        <v>8</v>
      </c>
      <c r="J44" s="85" t="s">
        <v>9</v>
      </c>
      <c r="K44" s="85" t="s">
        <v>96</v>
      </c>
      <c r="L44" s="89" t="s">
        <v>173</v>
      </c>
      <c r="M44" s="87" t="s">
        <v>6</v>
      </c>
      <c r="N44" s="85" t="s">
        <v>7</v>
      </c>
      <c r="O44" s="89" t="s">
        <v>8</v>
      </c>
      <c r="P44" s="85" t="s">
        <v>9</v>
      </c>
      <c r="Q44" s="85" t="s">
        <v>96</v>
      </c>
      <c r="R44" s="89" t="s">
        <v>173</v>
      </c>
      <c r="S44" s="89" t="s">
        <v>177</v>
      </c>
      <c r="T44" s="90" t="s">
        <v>6</v>
      </c>
      <c r="U44" s="85" t="s">
        <v>7</v>
      </c>
      <c r="V44" s="89" t="s">
        <v>8</v>
      </c>
      <c r="W44" s="85" t="s">
        <v>9</v>
      </c>
      <c r="X44" s="85" t="s">
        <v>96</v>
      </c>
      <c r="Y44" s="85" t="s">
        <v>173</v>
      </c>
      <c r="Z44" s="360" t="s">
        <v>216</v>
      </c>
      <c r="AA44" s="361"/>
    </row>
    <row r="45" spans="1:27" ht="24.95" customHeight="1">
      <c r="A45" s="358" t="s">
        <v>2</v>
      </c>
      <c r="B45" s="359"/>
      <c r="C45" s="362" t="s">
        <v>200</v>
      </c>
      <c r="D45" s="363"/>
      <c r="E45" s="363"/>
      <c r="F45" s="364"/>
      <c r="G45" s="372" t="s">
        <v>3</v>
      </c>
      <c r="H45" s="373"/>
      <c r="I45" s="373"/>
      <c r="J45" s="373"/>
      <c r="K45" s="373"/>
      <c r="L45" s="374"/>
      <c r="M45" s="384" t="s">
        <v>194</v>
      </c>
      <c r="N45" s="385"/>
      <c r="O45" s="385"/>
      <c r="P45" s="385"/>
      <c r="Q45" s="385"/>
      <c r="R45" s="385"/>
      <c r="S45" s="386"/>
      <c r="T45" s="405" t="s">
        <v>198</v>
      </c>
      <c r="U45" s="406"/>
      <c r="V45" s="406"/>
      <c r="W45" s="406"/>
      <c r="X45" s="406"/>
      <c r="Y45" s="407"/>
      <c r="Z45" s="358" t="s">
        <v>2</v>
      </c>
      <c r="AA45" s="359"/>
    </row>
    <row r="46" spans="1:27" ht="24.95" customHeight="1">
      <c r="A46" s="353" t="s">
        <v>4</v>
      </c>
      <c r="B46" s="354"/>
      <c r="C46" s="365"/>
      <c r="D46" s="366"/>
      <c r="E46" s="366"/>
      <c r="F46" s="367"/>
      <c r="G46" s="375" t="s">
        <v>197</v>
      </c>
      <c r="H46" s="376"/>
      <c r="I46" s="376"/>
      <c r="J46" s="376"/>
      <c r="K46" s="376"/>
      <c r="L46" s="377"/>
      <c r="M46" s="387"/>
      <c r="N46" s="388"/>
      <c r="O46" s="388"/>
      <c r="P46" s="388"/>
      <c r="Q46" s="388"/>
      <c r="R46" s="388"/>
      <c r="S46" s="389"/>
      <c r="T46" s="408"/>
      <c r="U46" s="409"/>
      <c r="V46" s="409"/>
      <c r="W46" s="409"/>
      <c r="X46" s="409"/>
      <c r="Y46" s="410"/>
      <c r="Z46" s="353" t="s">
        <v>4</v>
      </c>
      <c r="AA46" s="354"/>
    </row>
    <row r="47" spans="1:27" ht="21.95" customHeight="1">
      <c r="A47" s="138" t="s">
        <v>243</v>
      </c>
      <c r="B47" s="23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"/>
      <c r="AA47" s="3"/>
    </row>
    <row r="48" spans="1:27" ht="21.95" customHeight="1">
      <c r="A48" s="139" t="s">
        <v>244</v>
      </c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AA48" s="6"/>
    </row>
    <row r="49" spans="1:27" ht="21.95" customHeight="1">
      <c r="A49" s="140" t="s">
        <v>236</v>
      </c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AA49" s="6"/>
    </row>
    <row r="50" spans="1:27" ht="21.95" customHeight="1">
      <c r="A50" s="141" t="s">
        <v>237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AA50" s="6"/>
    </row>
    <row r="51" spans="1:27" ht="21.95" customHeight="1">
      <c r="A51" s="138" t="s">
        <v>286</v>
      </c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AA51" s="6"/>
    </row>
    <row r="52" spans="1:27" ht="21.95" customHeight="1">
      <c r="A52" s="355" t="s">
        <v>187</v>
      </c>
      <c r="B52" s="356"/>
      <c r="C52" s="356"/>
      <c r="D52" s="356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56"/>
      <c r="Y52" s="356"/>
      <c r="Z52" s="356"/>
      <c r="AA52" s="357"/>
    </row>
    <row r="53" spans="1:27" ht="21.95" customHeight="1">
      <c r="A53" s="112" t="s">
        <v>190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AA53" s="6"/>
    </row>
    <row r="54" spans="1:27" ht="21.95" customHeight="1">
      <c r="A54" s="112" t="s">
        <v>191</v>
      </c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AA54" s="6"/>
    </row>
    <row r="55" spans="1:27" ht="21.95" customHeight="1" thickBot="1">
      <c r="A55" s="11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AA55" s="6"/>
    </row>
    <row r="56" spans="1:27" ht="30" customHeight="1" thickBot="1">
      <c r="A56" s="112"/>
      <c r="B56" s="24"/>
      <c r="C56" s="24"/>
      <c r="D56" s="24"/>
      <c r="E56" s="346" t="s">
        <v>240</v>
      </c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8"/>
      <c r="X56" s="24"/>
      <c r="Y56" s="24"/>
      <c r="AA56" s="6"/>
    </row>
    <row r="57" spans="1:27" ht="9.9499999999999993" customHeight="1">
      <c r="A57" s="25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47"/>
      <c r="AA57" s="48"/>
    </row>
    <row r="58" spans="1:27" ht="12.95" customHeight="1"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8"/>
      <c r="V58" s="28"/>
      <c r="W58" s="28"/>
      <c r="X58" s="28"/>
      <c r="Y58" s="28"/>
    </row>
    <row r="59" spans="1:27" ht="17.100000000000001" customHeight="1">
      <c r="H59" s="113" t="s">
        <v>171</v>
      </c>
      <c r="I59" s="117" t="s">
        <v>184</v>
      </c>
      <c r="J59" s="82" t="s">
        <v>123</v>
      </c>
      <c r="K59" s="29" t="s">
        <v>14</v>
      </c>
      <c r="L59" s="72" t="s">
        <v>144</v>
      </c>
      <c r="M59" s="30" t="s">
        <v>15</v>
      </c>
      <c r="N59" s="111" t="s">
        <v>192</v>
      </c>
      <c r="O59" s="144" t="s">
        <v>217</v>
      </c>
      <c r="P59" s="132" t="s">
        <v>235</v>
      </c>
      <c r="Q59" s="28"/>
      <c r="R59" s="28"/>
      <c r="S59" s="28"/>
      <c r="T59" s="28"/>
      <c r="U59" s="28"/>
      <c r="V59" s="28"/>
      <c r="W59" s="28"/>
      <c r="X59" s="28"/>
    </row>
    <row r="60" spans="1:27" ht="24" customHeight="1">
      <c r="H60" s="31">
        <v>9</v>
      </c>
      <c r="I60" s="31">
        <v>31</v>
      </c>
      <c r="J60" s="31">
        <v>40</v>
      </c>
      <c r="K60" s="31">
        <v>20</v>
      </c>
      <c r="L60" s="31">
        <v>22</v>
      </c>
      <c r="M60" s="31">
        <v>12</v>
      </c>
      <c r="N60" s="31">
        <v>12</v>
      </c>
      <c r="O60" s="31">
        <v>14</v>
      </c>
      <c r="P60" s="110">
        <v>12</v>
      </c>
      <c r="Q60" s="28"/>
      <c r="R60" s="28"/>
      <c r="S60" s="28"/>
      <c r="T60" s="28"/>
      <c r="U60" s="28"/>
      <c r="V60" s="28"/>
      <c r="W60" s="28"/>
      <c r="X60" s="28"/>
    </row>
    <row r="61" spans="1:27" ht="17.100000000000001" customHeight="1">
      <c r="H61" s="4">
        <f t="shared" ref="H61:P61" ca="1" si="0">CountByBackgroundColor($C$12:$Y$43,H63)</f>
        <v>30</v>
      </c>
      <c r="I61" s="4">
        <f t="shared" ca="1" si="0"/>
        <v>41</v>
      </c>
      <c r="J61" s="4">
        <f t="shared" ca="1" si="0"/>
        <v>40</v>
      </c>
      <c r="K61" s="4">
        <f t="shared" ca="1" si="0"/>
        <v>21</v>
      </c>
      <c r="L61" s="4">
        <f t="shared" ca="1" si="0"/>
        <v>25</v>
      </c>
      <c r="M61" s="4">
        <f t="shared" ca="1" si="0"/>
        <v>12</v>
      </c>
      <c r="N61" s="4">
        <f t="shared" ca="1" si="0"/>
        <v>18</v>
      </c>
      <c r="O61" s="4">
        <f t="shared" ca="1" si="0"/>
        <v>14</v>
      </c>
      <c r="P61" s="4">
        <f t="shared" ca="1" si="0"/>
        <v>12</v>
      </c>
      <c r="Q61" s="28"/>
      <c r="R61" s="28"/>
      <c r="S61" s="28"/>
      <c r="T61" s="28"/>
      <c r="U61" s="28"/>
      <c r="V61" s="28"/>
      <c r="W61" s="28"/>
      <c r="X61" s="28"/>
      <c r="Y61" s="28"/>
    </row>
    <row r="62" spans="1:27" ht="17.100000000000001" customHeight="1">
      <c r="C62" s="32"/>
      <c r="K62" s="27"/>
      <c r="L62" s="33"/>
      <c r="O62" s="33"/>
      <c r="P62" s="33"/>
      <c r="W62" s="28"/>
    </row>
    <row r="63" spans="1:27" ht="17.100000000000001" customHeight="1">
      <c r="A63" s="27"/>
      <c r="B63" s="27"/>
      <c r="C63" s="27"/>
      <c r="D63" s="27"/>
      <c r="E63" s="27"/>
      <c r="F63" s="27"/>
      <c r="G63" s="27"/>
      <c r="H63" s="53">
        <f ca="1">CellColor(H59)</f>
        <v>8388736</v>
      </c>
      <c r="I63" s="53">
        <f t="shared" ref="I63" ca="1" si="1">CellColor(I59)</f>
        <v>10079487</v>
      </c>
      <c r="J63" s="53">
        <f ca="1">CellColor(J59)</f>
        <v>13408767</v>
      </c>
      <c r="K63" s="53">
        <f t="shared" ref="K63:P63" ca="1" si="2">CellColor(K59)</f>
        <v>52377</v>
      </c>
      <c r="L63" s="53">
        <f t="shared" ca="1" si="2"/>
        <v>65535</v>
      </c>
      <c r="M63" s="53">
        <f t="shared" ca="1" si="2"/>
        <v>16777164</v>
      </c>
      <c r="N63" s="53">
        <f t="shared" ca="1" si="2"/>
        <v>12632256</v>
      </c>
      <c r="O63" s="53">
        <f t="shared" ca="1" si="2"/>
        <v>24704</v>
      </c>
      <c r="P63" s="53">
        <f t="shared" ca="1" si="2"/>
        <v>255</v>
      </c>
      <c r="W63" s="28"/>
    </row>
    <row r="64" spans="1:27" ht="17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8"/>
      <c r="V64" s="28"/>
      <c r="W64" s="28"/>
      <c r="X64" s="28"/>
      <c r="Y64" s="28"/>
    </row>
    <row r="65" spans="1:25" ht="18" thickBot="1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8"/>
      <c r="V65" s="28"/>
      <c r="W65" s="28"/>
      <c r="X65" s="28"/>
      <c r="Y65" s="28"/>
    </row>
    <row r="66" spans="1:25" ht="15.75" thickTop="1" thickBot="1">
      <c r="C66" s="102" t="s">
        <v>204</v>
      </c>
      <c r="D66" s="35" t="s">
        <v>16</v>
      </c>
      <c r="E66" s="35" t="s">
        <v>89</v>
      </c>
      <c r="F66" s="35"/>
      <c r="G66" s="34" t="s">
        <v>83</v>
      </c>
      <c r="H66" s="34" t="s">
        <v>17</v>
      </c>
      <c r="I66" s="34" t="s">
        <v>18</v>
      </c>
      <c r="J66" s="34"/>
      <c r="K66" s="34"/>
      <c r="L66" s="94" t="s">
        <v>220</v>
      </c>
      <c r="M66" s="61" t="s">
        <v>85</v>
      </c>
      <c r="N66" s="34" t="s">
        <v>19</v>
      </c>
      <c r="O66" s="34" t="s">
        <v>20</v>
      </c>
      <c r="P66" s="74" t="s">
        <v>170</v>
      </c>
      <c r="Q66" s="123" t="s">
        <v>175</v>
      </c>
      <c r="R66" s="114"/>
      <c r="T66" s="37"/>
      <c r="U66" s="37"/>
      <c r="V66" s="37"/>
      <c r="W66" s="37"/>
      <c r="X66" s="37"/>
    </row>
    <row r="67" spans="1:25" ht="14.25" thickTop="1">
      <c r="C67" s="37">
        <f>COUNTIF($C$12:$Y$43,C66)</f>
        <v>4</v>
      </c>
      <c r="D67" s="37">
        <f>COUNTIF($C$12:$Y$43,D66)</f>
        <v>4</v>
      </c>
      <c r="E67" s="37">
        <f>COUNTIF($C$12:$Y$43,E66)</f>
        <v>4</v>
      </c>
      <c r="F67" s="37"/>
      <c r="G67" s="37">
        <f>COUNTIF($C$12:$Y$43,G66)</f>
        <v>4</v>
      </c>
      <c r="H67" s="37">
        <f>COUNTIF($C$12:$Y$43,H66)</f>
        <v>4</v>
      </c>
      <c r="I67" s="37">
        <f>COUNTIF($C$12:$Y$43,I66)</f>
        <v>4</v>
      </c>
      <c r="J67" s="37"/>
      <c r="K67" s="37"/>
      <c r="L67" s="37">
        <f t="shared" ref="L67:Q67" si="3">COUNTIF($C$12:$Y$43,L66)</f>
        <v>4</v>
      </c>
      <c r="M67" s="37">
        <f t="shared" si="3"/>
        <v>4</v>
      </c>
      <c r="N67" s="37">
        <f t="shared" si="3"/>
        <v>4</v>
      </c>
      <c r="O67" s="37">
        <f t="shared" si="3"/>
        <v>4</v>
      </c>
      <c r="P67" s="37">
        <f t="shared" si="3"/>
        <v>1</v>
      </c>
      <c r="Q67" s="37">
        <f t="shared" si="3"/>
        <v>1</v>
      </c>
      <c r="R67" s="37"/>
      <c r="T67" s="37"/>
      <c r="U67" s="37"/>
      <c r="V67" s="37"/>
      <c r="W67" s="37"/>
      <c r="X67" s="37"/>
    </row>
    <row r="68" spans="1:25"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</row>
    <row r="69" spans="1:25" ht="14.25">
      <c r="C69" s="34" t="s">
        <v>21</v>
      </c>
      <c r="D69" s="34" t="s">
        <v>22</v>
      </c>
      <c r="E69" s="35" t="s">
        <v>23</v>
      </c>
      <c r="F69" s="35"/>
      <c r="G69" s="34" t="s">
        <v>24</v>
      </c>
      <c r="H69" s="34" t="s">
        <v>25</v>
      </c>
      <c r="I69" s="34" t="s">
        <v>26</v>
      </c>
      <c r="J69" s="34"/>
      <c r="K69" s="34"/>
      <c r="L69" s="34" t="s">
        <v>27</v>
      </c>
      <c r="M69" s="34" t="s">
        <v>28</v>
      </c>
      <c r="N69" s="35" t="s">
        <v>29</v>
      </c>
      <c r="O69" s="34" t="s">
        <v>30</v>
      </c>
      <c r="P69" s="74" t="s">
        <v>169</v>
      </c>
      <c r="Q69" s="74" t="s">
        <v>174</v>
      </c>
      <c r="R69" s="34"/>
      <c r="S69" s="36" t="s">
        <v>33</v>
      </c>
    </row>
    <row r="70" spans="1:25">
      <c r="C70" s="37">
        <f>COUNTIF($C$12:$Y$43,C69)</f>
        <v>5</v>
      </c>
      <c r="D70" s="37">
        <f>COUNTIF($C$12:$Y$43,D69)</f>
        <v>5</v>
      </c>
      <c r="E70" s="37">
        <f>COUNTIF($C$12:$Y$43,E69)</f>
        <v>5</v>
      </c>
      <c r="F70" s="37"/>
      <c r="G70" s="37">
        <f>COUNTIF($C$12:$Y$43,G69)</f>
        <v>0</v>
      </c>
      <c r="H70" s="37">
        <f>COUNTIF($C$12:$Y$43,H69)</f>
        <v>5</v>
      </c>
      <c r="I70" s="37">
        <f>COUNTIF($C$12:$Y$43,I69)</f>
        <v>5</v>
      </c>
      <c r="J70" s="37"/>
      <c r="K70" s="37"/>
      <c r="L70" s="37">
        <f t="shared" ref="L70:S70" si="4">COUNTIF($C$12:$Y$43,L69)</f>
        <v>0</v>
      </c>
      <c r="M70" s="37">
        <f t="shared" si="4"/>
        <v>0</v>
      </c>
      <c r="N70" s="37">
        <f t="shared" si="4"/>
        <v>3</v>
      </c>
      <c r="O70" s="37">
        <f t="shared" si="4"/>
        <v>3</v>
      </c>
      <c r="P70" s="37">
        <f t="shared" si="4"/>
        <v>1</v>
      </c>
      <c r="Q70" s="37">
        <f t="shared" si="4"/>
        <v>1</v>
      </c>
      <c r="R70" s="37"/>
      <c r="S70" s="37">
        <f t="shared" si="4"/>
        <v>0</v>
      </c>
    </row>
    <row r="71" spans="1:25" ht="14.25" thickBot="1"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</row>
    <row r="72" spans="1:25" ht="25.5" thickTop="1" thickBot="1">
      <c r="C72" s="38" t="s">
        <v>34</v>
      </c>
      <c r="D72" s="38" t="s">
        <v>35</v>
      </c>
      <c r="E72" s="38" t="s">
        <v>36</v>
      </c>
      <c r="F72" s="38"/>
      <c r="G72" s="38" t="s">
        <v>37</v>
      </c>
      <c r="H72" s="38" t="s">
        <v>38</v>
      </c>
      <c r="I72" s="38" t="s">
        <v>39</v>
      </c>
      <c r="J72" s="38"/>
      <c r="K72" s="38"/>
      <c r="L72" s="101" t="s">
        <v>209</v>
      </c>
      <c r="M72" s="60" t="s">
        <v>91</v>
      </c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</row>
    <row r="73" spans="1:25" ht="14.25" thickTop="1">
      <c r="C73" s="37">
        <f>COUNTIF($C$12:$Y$43,C72)</f>
        <v>0</v>
      </c>
      <c r="D73" s="37">
        <f>COUNTIF($C$12:$Y$43,D72)</f>
        <v>0</v>
      </c>
      <c r="E73" s="37">
        <f>COUNTIF($C$12:$Y$43,E72)</f>
        <v>0</v>
      </c>
      <c r="F73" s="37"/>
      <c r="G73" s="37">
        <f>COUNTIF($C$12:$Y$43,G72)</f>
        <v>0</v>
      </c>
      <c r="H73" s="37">
        <f>COUNTIF($C$12:$Y$43,H72)</f>
        <v>0</v>
      </c>
      <c r="I73" s="37">
        <f>COUNTIF($C$12:$Y$43,I72)</f>
        <v>0</v>
      </c>
      <c r="J73" s="37"/>
      <c r="K73" s="37"/>
      <c r="L73" s="37">
        <f>COUNTIF($C$12:$Y$43,L72)</f>
        <v>4</v>
      </c>
      <c r="M73" s="37">
        <f>COUNTIF($C$12:$Y$43,M72)</f>
        <v>0</v>
      </c>
      <c r="N73" s="37"/>
      <c r="O73" s="37"/>
      <c r="P73" s="37"/>
      <c r="U73" s="37"/>
      <c r="V73" s="37"/>
      <c r="W73" s="37"/>
      <c r="X73" s="37"/>
    </row>
    <row r="74" spans="1:25"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</row>
    <row r="75" spans="1:25" ht="14.25">
      <c r="C75" s="34" t="s">
        <v>40</v>
      </c>
      <c r="D75" s="34" t="s">
        <v>41</v>
      </c>
      <c r="E75" s="35" t="s">
        <v>42</v>
      </c>
      <c r="F75" s="35"/>
      <c r="G75" s="34" t="s">
        <v>43</v>
      </c>
      <c r="H75" s="34" t="s">
        <v>44</v>
      </c>
      <c r="I75" s="35" t="s">
        <v>45</v>
      </c>
      <c r="J75" s="35"/>
      <c r="K75" s="35"/>
      <c r="L75" s="34" t="s">
        <v>46</v>
      </c>
      <c r="M75" s="34" t="s">
        <v>47</v>
      </c>
      <c r="N75" s="35" t="s">
        <v>48</v>
      </c>
      <c r="O75" s="35" t="s">
        <v>49</v>
      </c>
      <c r="P75" s="34" t="s">
        <v>142</v>
      </c>
      <c r="Q75" s="34" t="s">
        <v>143</v>
      </c>
      <c r="R75" s="34"/>
      <c r="S75" s="34" t="s">
        <v>52</v>
      </c>
      <c r="T75" s="123" t="s">
        <v>210</v>
      </c>
      <c r="U75" s="116" t="s">
        <v>186</v>
      </c>
      <c r="V75" s="34"/>
    </row>
    <row r="76" spans="1:25">
      <c r="C76" s="37">
        <f>COUNTIF($C$12:$Y$43,C75)</f>
        <v>5</v>
      </c>
      <c r="D76" s="37">
        <f>COUNTIF($C$12:$Y$43,D75)</f>
        <v>5</v>
      </c>
      <c r="E76" s="37">
        <f>COUNTIF($C$12:$Y$43,E75)</f>
        <v>5</v>
      </c>
      <c r="F76" s="37"/>
      <c r="G76" s="37">
        <f>COUNTIF($C$12:$Y$43,G75)</f>
        <v>0</v>
      </c>
      <c r="H76" s="37">
        <f>COUNTIF($C$12:$Y$43,H75)</f>
        <v>6</v>
      </c>
      <c r="I76" s="37">
        <f>COUNTIF($C$12:$Y$43,I75)</f>
        <v>6</v>
      </c>
      <c r="J76" s="37"/>
      <c r="K76" s="37"/>
      <c r="L76" s="37">
        <f t="shared" ref="L76:U76" si="5">COUNTIF($C$12:$Y$43,L75)</f>
        <v>6</v>
      </c>
      <c r="M76" s="37">
        <f t="shared" si="5"/>
        <v>0</v>
      </c>
      <c r="N76" s="37">
        <f t="shared" si="5"/>
        <v>3</v>
      </c>
      <c r="O76" s="37">
        <f t="shared" si="5"/>
        <v>3</v>
      </c>
      <c r="P76" s="37">
        <f t="shared" si="5"/>
        <v>0</v>
      </c>
      <c r="Q76" s="37">
        <f t="shared" si="5"/>
        <v>0</v>
      </c>
      <c r="R76" s="37"/>
      <c r="S76" s="37">
        <f t="shared" si="5"/>
        <v>0</v>
      </c>
      <c r="T76" s="37">
        <f t="shared" si="5"/>
        <v>1</v>
      </c>
      <c r="U76" s="37">
        <f t="shared" si="5"/>
        <v>1</v>
      </c>
      <c r="V76" s="37"/>
    </row>
    <row r="77" spans="1:25"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</row>
    <row r="78" spans="1:25">
      <c r="C78" s="38" t="s">
        <v>53</v>
      </c>
      <c r="D78" s="38" t="s">
        <v>54</v>
      </c>
      <c r="E78" s="38" t="s">
        <v>55</v>
      </c>
      <c r="F78" s="38"/>
      <c r="G78" s="38" t="s">
        <v>56</v>
      </c>
      <c r="H78" s="38" t="s">
        <v>57</v>
      </c>
      <c r="I78" s="38" t="s">
        <v>58</v>
      </c>
      <c r="J78" s="38"/>
      <c r="K78" s="38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</row>
    <row r="79" spans="1:25">
      <c r="C79" s="37">
        <f>COUNTIF($C$12:$Y$43,C78)</f>
        <v>0</v>
      </c>
      <c r="D79" s="37">
        <f>COUNTIF($C$12:$Y$43,D78)</f>
        <v>0</v>
      </c>
      <c r="E79" s="37">
        <f>COUNTIF($C$12:$Y$43,E78)</f>
        <v>0</v>
      </c>
      <c r="F79" s="37"/>
      <c r="G79" s="37">
        <f>COUNTIF($C$12:$Y$43,G78)</f>
        <v>0</v>
      </c>
      <c r="H79" s="37">
        <f>COUNTIF($C$12:$Y$43,H78)</f>
        <v>0</v>
      </c>
      <c r="I79" s="37">
        <f>COUNTIF($C$12:$Y$43,I78)</f>
        <v>0</v>
      </c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</row>
    <row r="80" spans="1:25"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</row>
    <row r="81" spans="3:24">
      <c r="C81" s="34" t="s">
        <v>59</v>
      </c>
      <c r="D81" s="35" t="s">
        <v>60</v>
      </c>
      <c r="E81" s="34" t="s">
        <v>61</v>
      </c>
      <c r="F81" s="34"/>
      <c r="G81" s="34" t="s">
        <v>62</v>
      </c>
      <c r="H81" s="34" t="s">
        <v>63</v>
      </c>
      <c r="I81" s="35" t="s">
        <v>64</v>
      </c>
      <c r="J81" s="35"/>
      <c r="K81" s="35"/>
      <c r="L81" s="34" t="s">
        <v>65</v>
      </c>
      <c r="M81" s="35" t="s">
        <v>66</v>
      </c>
      <c r="N81" s="34" t="s">
        <v>67</v>
      </c>
      <c r="O81" s="34" t="s">
        <v>68</v>
      </c>
      <c r="P81" s="34" t="s">
        <v>69</v>
      </c>
      <c r="Q81" s="34" t="s">
        <v>70</v>
      </c>
      <c r="R81" s="34"/>
      <c r="S81" s="34" t="s">
        <v>71</v>
      </c>
      <c r="T81" s="34" t="s">
        <v>72</v>
      </c>
      <c r="U81" s="34" t="s">
        <v>73</v>
      </c>
      <c r="V81" s="34"/>
      <c r="W81" s="34" t="s">
        <v>74</v>
      </c>
      <c r="X81" s="34" t="s">
        <v>75</v>
      </c>
    </row>
    <row r="82" spans="3:24">
      <c r="C82" s="37">
        <f>COUNTIF($C$12:$Y$43,C81)</f>
        <v>6</v>
      </c>
      <c r="D82" s="37">
        <f>COUNTIF($C$12:$Y$43,D81)</f>
        <v>6</v>
      </c>
      <c r="E82" s="37">
        <f>COUNTIF($C$12:$Y$43,E81)</f>
        <v>6</v>
      </c>
      <c r="F82" s="37"/>
      <c r="G82" s="37">
        <f>COUNTIF($C$12:$Y$43,G81)</f>
        <v>0</v>
      </c>
      <c r="H82" s="37">
        <f>COUNTIF($C$12:$Y$43,H81)</f>
        <v>6</v>
      </c>
      <c r="I82" s="37">
        <f>COUNTIF($C$12:$Y$43,I81)</f>
        <v>6</v>
      </c>
      <c r="J82" s="37"/>
      <c r="K82" s="37"/>
      <c r="L82" s="37">
        <f t="shared" ref="L82:X82" si="6">COUNTIF($C$12:$Y$43,L81)</f>
        <v>6</v>
      </c>
      <c r="M82" s="37">
        <f t="shared" si="6"/>
        <v>0</v>
      </c>
      <c r="N82" s="37">
        <f t="shared" si="6"/>
        <v>4</v>
      </c>
      <c r="O82" s="37">
        <f t="shared" si="6"/>
        <v>4</v>
      </c>
      <c r="P82" s="37">
        <f t="shared" si="6"/>
        <v>4</v>
      </c>
      <c r="Q82" s="37">
        <f t="shared" si="6"/>
        <v>4</v>
      </c>
      <c r="R82" s="37"/>
      <c r="S82" s="37">
        <f t="shared" si="6"/>
        <v>4</v>
      </c>
      <c r="T82" s="37">
        <f t="shared" si="6"/>
        <v>4</v>
      </c>
      <c r="U82" s="37">
        <f t="shared" si="6"/>
        <v>3</v>
      </c>
      <c r="V82" s="37"/>
      <c r="W82" s="37">
        <f t="shared" si="6"/>
        <v>3</v>
      </c>
      <c r="X82" s="37">
        <f t="shared" si="6"/>
        <v>3</v>
      </c>
    </row>
    <row r="83" spans="3:24"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</row>
    <row r="84" spans="3:24">
      <c r="C84" s="38" t="s">
        <v>76</v>
      </c>
      <c r="D84" s="38" t="s">
        <v>77</v>
      </c>
      <c r="E84" s="38" t="s">
        <v>78</v>
      </c>
      <c r="F84" s="38"/>
      <c r="G84" s="38" t="s">
        <v>79</v>
      </c>
      <c r="H84" s="38" t="s">
        <v>80</v>
      </c>
      <c r="I84" s="38" t="s">
        <v>81</v>
      </c>
      <c r="J84" s="38"/>
      <c r="K84" s="38"/>
      <c r="S84" s="39"/>
      <c r="T84" s="39"/>
      <c r="U84" s="37"/>
      <c r="V84" s="37"/>
      <c r="W84" s="37"/>
      <c r="X84" s="37"/>
    </row>
    <row r="85" spans="3:24">
      <c r="C85" s="37">
        <f>COUNTIF($C$12:$Y$43,C84)</f>
        <v>0</v>
      </c>
      <c r="D85" s="37">
        <f>COUNTIF($C$12:$Y$43,D84)</f>
        <v>0</v>
      </c>
      <c r="E85" s="37">
        <f>COUNTIF($C$12:$Y$43,E84)</f>
        <v>0</v>
      </c>
      <c r="F85" s="37"/>
      <c r="G85" s="37">
        <f>COUNTIF($C$12:$Y$43,G84)</f>
        <v>0</v>
      </c>
      <c r="H85" s="37">
        <f>COUNTIF($C$12:$Y$43,H84)</f>
        <v>0</v>
      </c>
      <c r="I85" s="37">
        <f>COUNTIF($C$12:$Y$43,I84)</f>
        <v>0</v>
      </c>
      <c r="J85" s="37"/>
      <c r="K85" s="37"/>
    </row>
  </sheetData>
  <mergeCells count="34">
    <mergeCell ref="M8:N8"/>
    <mergeCell ref="A9:B9"/>
    <mergeCell ref="C9:F10"/>
    <mergeCell ref="Z10:AA10"/>
    <mergeCell ref="A11:B11"/>
    <mergeCell ref="Z11:AA11"/>
    <mergeCell ref="G9:L9"/>
    <mergeCell ref="M9:S9"/>
    <mergeCell ref="T9:Y9"/>
    <mergeCell ref="Z9:AA9"/>
    <mergeCell ref="A10:B10"/>
    <mergeCell ref="C12:Y12"/>
    <mergeCell ref="C13:D13"/>
    <mergeCell ref="E13:F13"/>
    <mergeCell ref="G10:L10"/>
    <mergeCell ref="M10:S10"/>
    <mergeCell ref="T10:Y10"/>
    <mergeCell ref="B39:B40"/>
    <mergeCell ref="Z39:Z40"/>
    <mergeCell ref="AA39:AA40"/>
    <mergeCell ref="A44:B44"/>
    <mergeCell ref="Z44:AA44"/>
    <mergeCell ref="A39:A40"/>
    <mergeCell ref="A52:AA52"/>
    <mergeCell ref="E56:W56"/>
    <mergeCell ref="A45:B45"/>
    <mergeCell ref="C45:F46"/>
    <mergeCell ref="G45:L45"/>
    <mergeCell ref="M45:S46"/>
    <mergeCell ref="T45:Y46"/>
    <mergeCell ref="Z45:AA45"/>
    <mergeCell ref="A46:B46"/>
    <mergeCell ref="G46:L46"/>
    <mergeCell ref="Z46:AA46"/>
  </mergeCells>
  <phoneticPr fontId="2"/>
  <conditionalFormatting sqref="C12:Y12">
    <cfRule type="containsText" dxfId="95" priority="31" stopIfTrue="1" operator="containsText" text="４">
      <formula>NOT(ISERROR(SEARCH("４",C12)))</formula>
    </cfRule>
    <cfRule type="beginsWith" dxfId="94" priority="32" stopIfTrue="1" operator="beginsWith" text="６">
      <formula>LEFT(C12,LEN("６"))="６"</formula>
    </cfRule>
    <cfRule type="beginsWith" dxfId="93" priority="33" stopIfTrue="1" operator="beginsWith" text="５">
      <formula>LEFT(C12,LEN("５"))="５"</formula>
    </cfRule>
    <cfRule type="beginsWith" dxfId="92" priority="34" stopIfTrue="1" operator="beginsWith" text="３">
      <formula>LEFT(C12,LEN("３"))="３"</formula>
    </cfRule>
    <cfRule type="beginsWith" dxfId="91" priority="35" stopIfTrue="1" operator="beginsWith" text="２">
      <formula>LEFT(C12,LEN("２"))="２"</formula>
    </cfRule>
    <cfRule type="beginsWith" dxfId="90" priority="36" stopIfTrue="1" operator="beginsWith" text="１">
      <formula>LEFT(C12,LEN("１"))="１"</formula>
    </cfRule>
  </conditionalFormatting>
  <conditionalFormatting sqref="C13:F13">
    <cfRule type="containsText" dxfId="89" priority="25" stopIfTrue="1" operator="containsText" text="４">
      <formula>NOT(ISERROR(SEARCH("４",C13)))</formula>
    </cfRule>
    <cfRule type="beginsWith" dxfId="88" priority="26" stopIfTrue="1" operator="beginsWith" text="６">
      <formula>LEFT(C13,LEN("６"))="６"</formula>
    </cfRule>
    <cfRule type="beginsWith" dxfId="87" priority="27" stopIfTrue="1" operator="beginsWith" text="５">
      <formula>LEFT(C13,LEN("５"))="５"</formula>
    </cfRule>
    <cfRule type="beginsWith" dxfId="86" priority="28" stopIfTrue="1" operator="beginsWith" text="３">
      <formula>LEFT(C13,LEN("３"))="３"</formula>
    </cfRule>
    <cfRule type="beginsWith" dxfId="85" priority="29" stopIfTrue="1" operator="beginsWith" text="２">
      <formula>LEFT(C13,LEN("２"))="２"</formula>
    </cfRule>
    <cfRule type="beginsWith" dxfId="84" priority="30" stopIfTrue="1" operator="beginsWith" text="１">
      <formula>LEFT(C13,LEN("１"))="１"</formula>
    </cfRule>
  </conditionalFormatting>
  <conditionalFormatting sqref="C26">
    <cfRule type="containsText" dxfId="83" priority="19" stopIfTrue="1" operator="containsText" text="４">
      <formula>NOT(ISERROR(SEARCH("４",C26)))</formula>
    </cfRule>
    <cfRule type="beginsWith" dxfId="82" priority="20" stopIfTrue="1" operator="beginsWith" text="６">
      <formula>LEFT(C26,LEN("６"))="６"</formula>
    </cfRule>
    <cfRule type="beginsWith" dxfId="81" priority="21" stopIfTrue="1" operator="beginsWith" text="５">
      <formula>LEFT(C26,LEN("５"))="５"</formula>
    </cfRule>
    <cfRule type="beginsWith" dxfId="80" priority="22" stopIfTrue="1" operator="beginsWith" text="３">
      <formula>LEFT(C26,LEN("３"))="３"</formula>
    </cfRule>
    <cfRule type="beginsWith" dxfId="79" priority="23" stopIfTrue="1" operator="beginsWith" text="２">
      <formula>LEFT(C26,LEN("２"))="２"</formula>
    </cfRule>
    <cfRule type="beginsWith" dxfId="78" priority="24" stopIfTrue="1" operator="beginsWith" text="１">
      <formula>LEFT(C26,LEN("１"))="１"</formula>
    </cfRule>
  </conditionalFormatting>
  <conditionalFormatting sqref="C32">
    <cfRule type="containsText" dxfId="77" priority="13" stopIfTrue="1" operator="containsText" text="４">
      <formula>NOT(ISERROR(SEARCH("４",C32)))</formula>
    </cfRule>
    <cfRule type="beginsWith" dxfId="76" priority="14" stopIfTrue="1" operator="beginsWith" text="６">
      <formula>LEFT(C32,LEN("６"))="６"</formula>
    </cfRule>
    <cfRule type="beginsWith" dxfId="75" priority="15" stopIfTrue="1" operator="beginsWith" text="５">
      <formula>LEFT(C32,LEN("５"))="５"</formula>
    </cfRule>
    <cfRule type="beginsWith" dxfId="74" priority="16" stopIfTrue="1" operator="beginsWith" text="３">
      <formula>LEFT(C32,LEN("３"))="３"</formula>
    </cfRule>
    <cfRule type="beginsWith" dxfId="73" priority="17" stopIfTrue="1" operator="beginsWith" text="２">
      <formula>LEFT(C32,LEN("２"))="２"</formula>
    </cfRule>
    <cfRule type="beginsWith" dxfId="72" priority="18" stopIfTrue="1" operator="beginsWith" text="１">
      <formula>LEFT(C32,LEN("１"))="１"</formula>
    </cfRule>
  </conditionalFormatting>
  <conditionalFormatting sqref="C39">
    <cfRule type="containsText" dxfId="71" priority="7" stopIfTrue="1" operator="containsText" text="４">
      <formula>NOT(ISERROR(SEARCH("４",C39)))</formula>
    </cfRule>
    <cfRule type="beginsWith" dxfId="70" priority="8" stopIfTrue="1" operator="beginsWith" text="６">
      <formula>LEFT(C39,LEN("６"))="６"</formula>
    </cfRule>
    <cfRule type="beginsWith" dxfId="69" priority="9" stopIfTrue="1" operator="beginsWith" text="５">
      <formula>LEFT(C39,LEN("５"))="５"</formula>
    </cfRule>
    <cfRule type="beginsWith" dxfId="68" priority="10" stopIfTrue="1" operator="beginsWith" text="３">
      <formula>LEFT(C39,LEN("３"))="３"</formula>
    </cfRule>
    <cfRule type="beginsWith" dxfId="67" priority="11" stopIfTrue="1" operator="beginsWith" text="２">
      <formula>LEFT(C39,LEN("２"))="２"</formula>
    </cfRule>
    <cfRule type="beginsWith" dxfId="66" priority="12" stopIfTrue="1" operator="beginsWith" text="１">
      <formula>LEFT(C39,LEN("１"))="１"</formula>
    </cfRule>
  </conditionalFormatting>
  <printOptions horizontalCentered="1" verticalCentered="1"/>
  <pageMargins left="0.27559055118110237" right="0.15748031496062992" top="0.27559055118110237" bottom="0.19685039370078741" header="0.9055118110236221" footer="0.59055118110236227"/>
  <pageSetup paperSize="9" scale="3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8"/>
  <sheetViews>
    <sheetView zoomScaleNormal="100" workbookViewId="0">
      <selection activeCell="S1" sqref="S1:Y5"/>
    </sheetView>
  </sheetViews>
  <sheetFormatPr defaultRowHeight="13.5"/>
  <cols>
    <col min="1" max="1" width="3.625" style="4" customWidth="1"/>
    <col min="2" max="3" width="6.625" style="4" customWidth="1"/>
    <col min="4" max="4" width="7.75" style="4" customWidth="1"/>
    <col min="5" max="5" width="6.625" style="4" customWidth="1"/>
    <col min="6" max="31" width="7.75" style="4" customWidth="1"/>
    <col min="32" max="260" width="8.875" style="4"/>
    <col min="261" max="261" width="3.625" style="4" customWidth="1"/>
    <col min="262" max="282" width="6.625" style="4" customWidth="1"/>
    <col min="283" max="516" width="8.875" style="4"/>
    <col min="517" max="517" width="3.625" style="4" customWidth="1"/>
    <col min="518" max="538" width="6.625" style="4" customWidth="1"/>
    <col min="539" max="772" width="8.875" style="4"/>
    <col min="773" max="773" width="3.625" style="4" customWidth="1"/>
    <col min="774" max="794" width="6.625" style="4" customWidth="1"/>
    <col min="795" max="1028" width="8.875" style="4"/>
    <col min="1029" max="1029" width="3.625" style="4" customWidth="1"/>
    <col min="1030" max="1050" width="6.625" style="4" customWidth="1"/>
    <col min="1051" max="1284" width="8.875" style="4"/>
    <col min="1285" max="1285" width="3.625" style="4" customWidth="1"/>
    <col min="1286" max="1306" width="6.625" style="4" customWidth="1"/>
    <col min="1307" max="1540" width="8.875" style="4"/>
    <col min="1541" max="1541" width="3.625" style="4" customWidth="1"/>
    <col min="1542" max="1562" width="6.625" style="4" customWidth="1"/>
    <col min="1563" max="1796" width="8.875" style="4"/>
    <col min="1797" max="1797" width="3.625" style="4" customWidth="1"/>
    <col min="1798" max="1818" width="6.625" style="4" customWidth="1"/>
    <col min="1819" max="2052" width="8.875" style="4"/>
    <col min="2053" max="2053" width="3.625" style="4" customWidth="1"/>
    <col min="2054" max="2074" width="6.625" style="4" customWidth="1"/>
    <col min="2075" max="2308" width="8.875" style="4"/>
    <col min="2309" max="2309" width="3.625" style="4" customWidth="1"/>
    <col min="2310" max="2330" width="6.625" style="4" customWidth="1"/>
    <col min="2331" max="2564" width="8.875" style="4"/>
    <col min="2565" max="2565" width="3.625" style="4" customWidth="1"/>
    <col min="2566" max="2586" width="6.625" style="4" customWidth="1"/>
    <col min="2587" max="2820" width="8.875" style="4"/>
    <col min="2821" max="2821" width="3.625" style="4" customWidth="1"/>
    <col min="2822" max="2842" width="6.625" style="4" customWidth="1"/>
    <col min="2843" max="3076" width="8.875" style="4"/>
    <col min="3077" max="3077" width="3.625" style="4" customWidth="1"/>
    <col min="3078" max="3098" width="6.625" style="4" customWidth="1"/>
    <col min="3099" max="3332" width="8.875" style="4"/>
    <col min="3333" max="3333" width="3.625" style="4" customWidth="1"/>
    <col min="3334" max="3354" width="6.625" style="4" customWidth="1"/>
    <col min="3355" max="3588" width="8.875" style="4"/>
    <col min="3589" max="3589" width="3.625" style="4" customWidth="1"/>
    <col min="3590" max="3610" width="6.625" style="4" customWidth="1"/>
    <col min="3611" max="3844" width="8.875" style="4"/>
    <col min="3845" max="3845" width="3.625" style="4" customWidth="1"/>
    <col min="3846" max="3866" width="6.625" style="4" customWidth="1"/>
    <col min="3867" max="4100" width="8.875" style="4"/>
    <col min="4101" max="4101" width="3.625" style="4" customWidth="1"/>
    <col min="4102" max="4122" width="6.625" style="4" customWidth="1"/>
    <col min="4123" max="4356" width="8.875" style="4"/>
    <col min="4357" max="4357" width="3.625" style="4" customWidth="1"/>
    <col min="4358" max="4378" width="6.625" style="4" customWidth="1"/>
    <col min="4379" max="4612" width="8.875" style="4"/>
    <col min="4613" max="4613" width="3.625" style="4" customWidth="1"/>
    <col min="4614" max="4634" width="6.625" style="4" customWidth="1"/>
    <col min="4635" max="4868" width="8.875" style="4"/>
    <col min="4869" max="4869" width="3.625" style="4" customWidth="1"/>
    <col min="4870" max="4890" width="6.625" style="4" customWidth="1"/>
    <col min="4891" max="5124" width="8.875" style="4"/>
    <col min="5125" max="5125" width="3.625" style="4" customWidth="1"/>
    <col min="5126" max="5146" width="6.625" style="4" customWidth="1"/>
    <col min="5147" max="5380" width="8.875" style="4"/>
    <col min="5381" max="5381" width="3.625" style="4" customWidth="1"/>
    <col min="5382" max="5402" width="6.625" style="4" customWidth="1"/>
    <col min="5403" max="5636" width="8.875" style="4"/>
    <col min="5637" max="5637" width="3.625" style="4" customWidth="1"/>
    <col min="5638" max="5658" width="6.625" style="4" customWidth="1"/>
    <col min="5659" max="5892" width="8.875" style="4"/>
    <col min="5893" max="5893" width="3.625" style="4" customWidth="1"/>
    <col min="5894" max="5914" width="6.625" style="4" customWidth="1"/>
    <col min="5915" max="6148" width="8.875" style="4"/>
    <col min="6149" max="6149" width="3.625" style="4" customWidth="1"/>
    <col min="6150" max="6170" width="6.625" style="4" customWidth="1"/>
    <col min="6171" max="6404" width="8.875" style="4"/>
    <col min="6405" max="6405" width="3.625" style="4" customWidth="1"/>
    <col min="6406" max="6426" width="6.625" style="4" customWidth="1"/>
    <col min="6427" max="6660" width="8.875" style="4"/>
    <col min="6661" max="6661" width="3.625" style="4" customWidth="1"/>
    <col min="6662" max="6682" width="6.625" style="4" customWidth="1"/>
    <col min="6683" max="6916" width="8.875" style="4"/>
    <col min="6917" max="6917" width="3.625" style="4" customWidth="1"/>
    <col min="6918" max="6938" width="6.625" style="4" customWidth="1"/>
    <col min="6939" max="7172" width="8.875" style="4"/>
    <col min="7173" max="7173" width="3.625" style="4" customWidth="1"/>
    <col min="7174" max="7194" width="6.625" style="4" customWidth="1"/>
    <col min="7195" max="7428" width="8.875" style="4"/>
    <col min="7429" max="7429" width="3.625" style="4" customWidth="1"/>
    <col min="7430" max="7450" width="6.625" style="4" customWidth="1"/>
    <col min="7451" max="7684" width="8.875" style="4"/>
    <col min="7685" max="7685" width="3.625" style="4" customWidth="1"/>
    <col min="7686" max="7706" width="6.625" style="4" customWidth="1"/>
    <col min="7707" max="7940" width="8.875" style="4"/>
    <col min="7941" max="7941" width="3.625" style="4" customWidth="1"/>
    <col min="7942" max="7962" width="6.625" style="4" customWidth="1"/>
    <col min="7963" max="8196" width="8.875" style="4"/>
    <col min="8197" max="8197" width="3.625" style="4" customWidth="1"/>
    <col min="8198" max="8218" width="6.625" style="4" customWidth="1"/>
    <col min="8219" max="8452" width="8.875" style="4"/>
    <col min="8453" max="8453" width="3.625" style="4" customWidth="1"/>
    <col min="8454" max="8474" width="6.625" style="4" customWidth="1"/>
    <col min="8475" max="8708" width="8.875" style="4"/>
    <col min="8709" max="8709" width="3.625" style="4" customWidth="1"/>
    <col min="8710" max="8730" width="6.625" style="4" customWidth="1"/>
    <col min="8731" max="8964" width="8.875" style="4"/>
    <col min="8965" max="8965" width="3.625" style="4" customWidth="1"/>
    <col min="8966" max="8986" width="6.625" style="4" customWidth="1"/>
    <col min="8987" max="9220" width="8.875" style="4"/>
    <col min="9221" max="9221" width="3.625" style="4" customWidth="1"/>
    <col min="9222" max="9242" width="6.625" style="4" customWidth="1"/>
    <col min="9243" max="9476" width="8.875" style="4"/>
    <col min="9477" max="9477" width="3.625" style="4" customWidth="1"/>
    <col min="9478" max="9498" width="6.625" style="4" customWidth="1"/>
    <col min="9499" max="9732" width="8.875" style="4"/>
    <col min="9733" max="9733" width="3.625" style="4" customWidth="1"/>
    <col min="9734" max="9754" width="6.625" style="4" customWidth="1"/>
    <col min="9755" max="9988" width="8.875" style="4"/>
    <col min="9989" max="9989" width="3.625" style="4" customWidth="1"/>
    <col min="9990" max="10010" width="6.625" style="4" customWidth="1"/>
    <col min="10011" max="10244" width="8.875" style="4"/>
    <col min="10245" max="10245" width="3.625" style="4" customWidth="1"/>
    <col min="10246" max="10266" width="6.625" style="4" customWidth="1"/>
    <col min="10267" max="10500" width="8.875" style="4"/>
    <col min="10501" max="10501" width="3.625" style="4" customWidth="1"/>
    <col min="10502" max="10522" width="6.625" style="4" customWidth="1"/>
    <col min="10523" max="10756" width="8.875" style="4"/>
    <col min="10757" max="10757" width="3.625" style="4" customWidth="1"/>
    <col min="10758" max="10778" width="6.625" style="4" customWidth="1"/>
    <col min="10779" max="11012" width="8.875" style="4"/>
    <col min="11013" max="11013" width="3.625" style="4" customWidth="1"/>
    <col min="11014" max="11034" width="6.625" style="4" customWidth="1"/>
    <col min="11035" max="11268" width="8.875" style="4"/>
    <col min="11269" max="11269" width="3.625" style="4" customWidth="1"/>
    <col min="11270" max="11290" width="6.625" style="4" customWidth="1"/>
    <col min="11291" max="11524" width="8.875" style="4"/>
    <col min="11525" max="11525" width="3.625" style="4" customWidth="1"/>
    <col min="11526" max="11546" width="6.625" style="4" customWidth="1"/>
    <col min="11547" max="11780" width="8.875" style="4"/>
    <col min="11781" max="11781" width="3.625" style="4" customWidth="1"/>
    <col min="11782" max="11802" width="6.625" style="4" customWidth="1"/>
    <col min="11803" max="12036" width="8.875" style="4"/>
    <col min="12037" max="12037" width="3.625" style="4" customWidth="1"/>
    <col min="12038" max="12058" width="6.625" style="4" customWidth="1"/>
    <col min="12059" max="12292" width="8.875" style="4"/>
    <col min="12293" max="12293" width="3.625" style="4" customWidth="1"/>
    <col min="12294" max="12314" width="6.625" style="4" customWidth="1"/>
    <col min="12315" max="12548" width="8.875" style="4"/>
    <col min="12549" max="12549" width="3.625" style="4" customWidth="1"/>
    <col min="12550" max="12570" width="6.625" style="4" customWidth="1"/>
    <col min="12571" max="12804" width="8.875" style="4"/>
    <col min="12805" max="12805" width="3.625" style="4" customWidth="1"/>
    <col min="12806" max="12826" width="6.625" style="4" customWidth="1"/>
    <col min="12827" max="13060" width="8.875" style="4"/>
    <col min="13061" max="13061" width="3.625" style="4" customWidth="1"/>
    <col min="13062" max="13082" width="6.625" style="4" customWidth="1"/>
    <col min="13083" max="13316" width="8.875" style="4"/>
    <col min="13317" max="13317" width="3.625" style="4" customWidth="1"/>
    <col min="13318" max="13338" width="6.625" style="4" customWidth="1"/>
    <col min="13339" max="13572" width="8.875" style="4"/>
    <col min="13573" max="13573" width="3.625" style="4" customWidth="1"/>
    <col min="13574" max="13594" width="6.625" style="4" customWidth="1"/>
    <col min="13595" max="13828" width="8.875" style="4"/>
    <col min="13829" max="13829" width="3.625" style="4" customWidth="1"/>
    <col min="13830" max="13850" width="6.625" style="4" customWidth="1"/>
    <col min="13851" max="14084" width="8.875" style="4"/>
    <col min="14085" max="14085" width="3.625" style="4" customWidth="1"/>
    <col min="14086" max="14106" width="6.625" style="4" customWidth="1"/>
    <col min="14107" max="14340" width="8.875" style="4"/>
    <col min="14341" max="14341" width="3.625" style="4" customWidth="1"/>
    <col min="14342" max="14362" width="6.625" style="4" customWidth="1"/>
    <col min="14363" max="14596" width="8.875" style="4"/>
    <col min="14597" max="14597" width="3.625" style="4" customWidth="1"/>
    <col min="14598" max="14618" width="6.625" style="4" customWidth="1"/>
    <col min="14619" max="14852" width="8.875" style="4"/>
    <col min="14853" max="14853" width="3.625" style="4" customWidth="1"/>
    <col min="14854" max="14874" width="6.625" style="4" customWidth="1"/>
    <col min="14875" max="15108" width="8.875" style="4"/>
    <col min="15109" max="15109" width="3.625" style="4" customWidth="1"/>
    <col min="15110" max="15130" width="6.625" style="4" customWidth="1"/>
    <col min="15131" max="15364" width="8.875" style="4"/>
    <col min="15365" max="15365" width="3.625" style="4" customWidth="1"/>
    <col min="15366" max="15386" width="6.625" style="4" customWidth="1"/>
    <col min="15387" max="15620" width="8.875" style="4"/>
    <col min="15621" max="15621" width="3.625" style="4" customWidth="1"/>
    <col min="15622" max="15642" width="6.625" style="4" customWidth="1"/>
    <col min="15643" max="15876" width="8.875" style="4"/>
    <col min="15877" max="15877" width="3.625" style="4" customWidth="1"/>
    <col min="15878" max="15898" width="6.625" style="4" customWidth="1"/>
    <col min="15899" max="16132" width="8.875" style="4"/>
    <col min="16133" max="16133" width="3.625" style="4" customWidth="1"/>
    <col min="16134" max="16154" width="6.625" style="4" customWidth="1"/>
    <col min="16155" max="16384" width="8.875" style="4"/>
  </cols>
  <sheetData>
    <row r="1" spans="1:33" ht="24" customHeight="1" thickTop="1" thickBot="1">
      <c r="A1" s="40" t="s">
        <v>82</v>
      </c>
      <c r="B1" s="41"/>
      <c r="C1" s="41"/>
      <c r="D1" s="41"/>
      <c r="E1" s="41"/>
      <c r="F1" s="133"/>
      <c r="G1" s="97" t="s">
        <v>154</v>
      </c>
      <c r="I1" s="74" t="s">
        <v>174</v>
      </c>
      <c r="K1" s="123" t="s">
        <v>175</v>
      </c>
      <c r="L1" s="97" t="s">
        <v>181</v>
      </c>
      <c r="N1" s="134" t="s">
        <v>48</v>
      </c>
      <c r="O1" s="74" t="s">
        <v>162</v>
      </c>
      <c r="R1" s="67" t="s">
        <v>146</v>
      </c>
      <c r="S1" s="97" t="s">
        <v>161</v>
      </c>
      <c r="U1" s="116" t="s">
        <v>186</v>
      </c>
      <c r="V1" s="74" t="s">
        <v>156</v>
      </c>
      <c r="Y1" s="67" t="s">
        <v>218</v>
      </c>
      <c r="AD1" s="69" t="s">
        <v>157</v>
      </c>
      <c r="AG1" s="45"/>
    </row>
    <row r="2" spans="1:33" ht="24" customHeight="1" thickTop="1" thickBot="1">
      <c r="A2" s="40" t="s">
        <v>84</v>
      </c>
      <c r="B2" s="41"/>
      <c r="C2" s="41"/>
      <c r="D2" s="41"/>
      <c r="E2" s="41" t="s">
        <v>130</v>
      </c>
      <c r="F2" s="101" t="s">
        <v>149</v>
      </c>
      <c r="G2" s="115" t="s">
        <v>163</v>
      </c>
      <c r="K2" s="74" t="s">
        <v>169</v>
      </c>
      <c r="L2" s="101" t="s">
        <v>222</v>
      </c>
      <c r="N2" s="135" t="s">
        <v>223</v>
      </c>
      <c r="O2" s="116" t="s">
        <v>180</v>
      </c>
      <c r="S2" s="101" t="s">
        <v>166</v>
      </c>
      <c r="U2" s="135" t="s">
        <v>225</v>
      </c>
      <c r="AD2" s="66" t="s">
        <v>147</v>
      </c>
      <c r="AE2" s="68" t="s">
        <v>52</v>
      </c>
    </row>
    <row r="3" spans="1:33" ht="24" customHeight="1" thickTop="1" thickBot="1">
      <c r="A3" s="40" t="s">
        <v>87</v>
      </c>
      <c r="B3" s="41"/>
      <c r="C3" s="41"/>
      <c r="D3" s="91"/>
      <c r="E3" s="41"/>
      <c r="F3" s="130" t="s">
        <v>164</v>
      </c>
      <c r="G3" s="94" t="s">
        <v>201</v>
      </c>
      <c r="L3" s="94" t="s">
        <v>202</v>
      </c>
      <c r="M3" s="101" t="s">
        <v>152</v>
      </c>
      <c r="O3" s="74" t="s">
        <v>73</v>
      </c>
      <c r="T3" s="94" t="s">
        <v>215</v>
      </c>
      <c r="V3" s="74" t="s">
        <v>160</v>
      </c>
      <c r="X3" s="67" t="s">
        <v>148</v>
      </c>
      <c r="AD3" s="75" t="s">
        <v>155</v>
      </c>
      <c r="AE3" s="65" t="s">
        <v>151</v>
      </c>
    </row>
    <row r="4" spans="1:33" ht="24" customHeight="1" thickTop="1" thickBot="1">
      <c r="A4" s="40" t="s">
        <v>88</v>
      </c>
      <c r="B4" s="41"/>
      <c r="C4" s="41"/>
      <c r="D4" s="91"/>
      <c r="E4" s="41"/>
      <c r="F4" s="97" t="s">
        <v>221</v>
      </c>
      <c r="G4" s="131" t="s">
        <v>214</v>
      </c>
      <c r="H4" s="102" t="s">
        <v>204</v>
      </c>
      <c r="L4" s="97" t="s">
        <v>167</v>
      </c>
      <c r="M4" s="124" t="s">
        <v>158</v>
      </c>
      <c r="N4" s="131" t="s">
        <v>185</v>
      </c>
      <c r="O4" s="123" t="s">
        <v>210</v>
      </c>
      <c r="Q4" s="116" t="s">
        <v>224</v>
      </c>
      <c r="S4" s="124" t="s">
        <v>168</v>
      </c>
      <c r="T4" s="131" t="s">
        <v>165</v>
      </c>
      <c r="U4" s="97" t="s">
        <v>145</v>
      </c>
    </row>
    <row r="5" spans="1:33" ht="24" customHeight="1" thickTop="1" thickBot="1">
      <c r="A5" s="40" t="s">
        <v>90</v>
      </c>
      <c r="B5" s="41"/>
      <c r="C5" s="37"/>
      <c r="D5" s="37"/>
      <c r="F5" s="124" t="s">
        <v>182</v>
      </c>
      <c r="G5" s="102" t="s">
        <v>211</v>
      </c>
      <c r="H5" s="93" t="s">
        <v>89</v>
      </c>
      <c r="I5" s="74" t="s">
        <v>170</v>
      </c>
      <c r="L5" s="124" t="s">
        <v>205</v>
      </c>
      <c r="M5" s="93" t="s">
        <v>212</v>
      </c>
      <c r="N5" s="102" t="s">
        <v>153</v>
      </c>
      <c r="O5" s="74" t="s">
        <v>159</v>
      </c>
      <c r="R5" s="98"/>
      <c r="S5" s="93" t="s">
        <v>176</v>
      </c>
      <c r="T5" s="102" t="s">
        <v>219</v>
      </c>
    </row>
    <row r="6" spans="1:33" ht="24" customHeight="1" thickTop="1">
      <c r="A6" s="70" t="s">
        <v>94</v>
      </c>
      <c r="C6" s="41"/>
      <c r="D6" s="41"/>
      <c r="R6" s="99"/>
      <c r="S6" s="5"/>
    </row>
    <row r="7" spans="1:33" ht="24" customHeight="1">
      <c r="A7" s="70" t="s">
        <v>95</v>
      </c>
      <c r="H7" s="76"/>
      <c r="J7" s="76"/>
      <c r="K7" s="95"/>
    </row>
    <row r="8" spans="1:33" ht="24" customHeight="1">
      <c r="A8" s="40" t="s">
        <v>82</v>
      </c>
      <c r="B8" s="41"/>
      <c r="C8" s="41"/>
      <c r="X8" s="71"/>
    </row>
    <row r="9" spans="1:33" ht="24" customHeight="1">
      <c r="A9" s="40" t="s">
        <v>84</v>
      </c>
      <c r="B9" s="41"/>
      <c r="C9" s="41"/>
      <c r="E9" s="109"/>
      <c r="X9" s="71"/>
      <c r="AD9" s="66" t="s">
        <v>142</v>
      </c>
    </row>
    <row r="10" spans="1:33" ht="24" customHeight="1">
      <c r="A10" s="40" t="s">
        <v>87</v>
      </c>
      <c r="B10" s="41"/>
      <c r="C10" s="41"/>
      <c r="E10" s="109"/>
      <c r="X10" s="71"/>
      <c r="AD10" s="66" t="s">
        <v>50</v>
      </c>
    </row>
    <row r="11" spans="1:33" ht="24" customHeight="1">
      <c r="A11" s="40" t="s">
        <v>88</v>
      </c>
      <c r="B11" s="41"/>
      <c r="C11" s="41"/>
      <c r="D11" s="37"/>
      <c r="E11" s="37"/>
      <c r="X11" s="71"/>
      <c r="AD11" s="103" t="s">
        <v>143</v>
      </c>
    </row>
    <row r="12" spans="1:33" ht="24" customHeight="1">
      <c r="A12" s="40" t="s">
        <v>90</v>
      </c>
      <c r="B12" s="41"/>
      <c r="C12" s="37"/>
      <c r="D12" s="37"/>
      <c r="E12" s="37"/>
      <c r="X12" s="71"/>
      <c r="AD12" s="103" t="s">
        <v>51</v>
      </c>
    </row>
    <row r="13" spans="1:33" ht="24" customHeight="1">
      <c r="A13" s="70" t="s">
        <v>94</v>
      </c>
      <c r="L13" s="5"/>
      <c r="X13" s="71"/>
    </row>
    <row r="14" spans="1:33" ht="24" customHeight="1" thickBot="1">
      <c r="A14" s="70" t="s">
        <v>95</v>
      </c>
      <c r="L14" s="5"/>
      <c r="X14" s="71"/>
    </row>
    <row r="15" spans="1:33" ht="24" customHeight="1" thickTop="1" thickBot="1">
      <c r="A15" s="40" t="s">
        <v>82</v>
      </c>
      <c r="B15" s="41"/>
      <c r="C15" s="41"/>
      <c r="D15" s="41"/>
      <c r="E15" s="41"/>
      <c r="F15" s="93" t="s">
        <v>226</v>
      </c>
      <c r="I15" s="123" t="s">
        <v>175</v>
      </c>
      <c r="J15" s="74" t="s">
        <v>174</v>
      </c>
      <c r="L15" s="102" t="s">
        <v>158</v>
      </c>
      <c r="M15" s="67" t="s">
        <v>146</v>
      </c>
      <c r="P15" s="74" t="s">
        <v>162</v>
      </c>
      <c r="Q15" s="116" t="s">
        <v>48</v>
      </c>
      <c r="R15" s="105"/>
      <c r="T15" s="67" t="s">
        <v>218</v>
      </c>
      <c r="W15" s="74" t="s">
        <v>156</v>
      </c>
      <c r="X15" s="116" t="s">
        <v>186</v>
      </c>
    </row>
    <row r="16" spans="1:33" ht="24" customHeight="1" thickTop="1" thickBot="1">
      <c r="A16" s="40" t="s">
        <v>84</v>
      </c>
      <c r="B16" s="41"/>
      <c r="D16" s="41"/>
      <c r="E16" s="41" t="s">
        <v>131</v>
      </c>
      <c r="F16" s="124" t="s">
        <v>89</v>
      </c>
      <c r="G16" s="93" t="s">
        <v>227</v>
      </c>
      <c r="I16" s="74" t="s">
        <v>169</v>
      </c>
      <c r="L16" s="124" t="s">
        <v>165</v>
      </c>
      <c r="M16" s="93" t="s">
        <v>229</v>
      </c>
      <c r="P16" s="116" t="s">
        <v>180</v>
      </c>
      <c r="Q16" s="135" t="s">
        <v>223</v>
      </c>
      <c r="S16" s="124" t="s">
        <v>168</v>
      </c>
      <c r="T16" s="93" t="s">
        <v>230</v>
      </c>
      <c r="X16" s="135" t="s">
        <v>225</v>
      </c>
    </row>
    <row r="17" spans="1:23" ht="24" customHeight="1" thickTop="1" thickBot="1">
      <c r="A17" s="40" t="s">
        <v>87</v>
      </c>
      <c r="B17" s="41"/>
      <c r="C17" s="41"/>
      <c r="D17" s="41"/>
      <c r="E17" s="41"/>
      <c r="F17" s="131" t="s">
        <v>211</v>
      </c>
      <c r="H17" s="102" t="s">
        <v>204</v>
      </c>
      <c r="L17" s="102" t="s">
        <v>176</v>
      </c>
      <c r="M17" s="93" t="s">
        <v>228</v>
      </c>
      <c r="N17" s="131" t="s">
        <v>185</v>
      </c>
      <c r="P17" s="74" t="s">
        <v>73</v>
      </c>
      <c r="S17" s="131" t="s">
        <v>212</v>
      </c>
      <c r="V17" s="67" t="s">
        <v>148</v>
      </c>
      <c r="W17" s="74" t="s">
        <v>160</v>
      </c>
    </row>
    <row r="18" spans="1:23" ht="24" customHeight="1" thickTop="1" thickBot="1">
      <c r="A18" s="40" t="s">
        <v>88</v>
      </c>
      <c r="B18" s="41"/>
      <c r="C18" s="41"/>
      <c r="D18" s="91"/>
      <c r="E18" s="41"/>
      <c r="F18" s="94" t="s">
        <v>220</v>
      </c>
      <c r="G18" s="101" t="s">
        <v>209</v>
      </c>
      <c r="H18" s="115" t="s">
        <v>163</v>
      </c>
      <c r="L18" s="94" t="s">
        <v>231</v>
      </c>
      <c r="M18" s="101" t="s">
        <v>181</v>
      </c>
      <c r="O18" s="116" t="s">
        <v>224</v>
      </c>
      <c r="P18" s="123" t="s">
        <v>210</v>
      </c>
      <c r="S18" s="115" t="s">
        <v>166</v>
      </c>
      <c r="T18" s="94" t="s">
        <v>203</v>
      </c>
    </row>
    <row r="19" spans="1:23" ht="24" customHeight="1" thickTop="1" thickBot="1">
      <c r="A19" s="40" t="s">
        <v>90</v>
      </c>
      <c r="B19" s="41"/>
      <c r="C19" s="37"/>
      <c r="D19" s="91"/>
      <c r="E19" s="37"/>
      <c r="F19" s="101" t="s">
        <v>183</v>
      </c>
      <c r="G19" s="104" t="s">
        <v>150</v>
      </c>
      <c r="H19" s="115" t="s">
        <v>83</v>
      </c>
      <c r="J19" s="74" t="s">
        <v>170</v>
      </c>
      <c r="L19" s="115" t="s">
        <v>161</v>
      </c>
      <c r="M19" s="104" t="s">
        <v>213</v>
      </c>
      <c r="N19" s="101" t="s">
        <v>152</v>
      </c>
      <c r="P19" s="74" t="s">
        <v>159</v>
      </c>
      <c r="S19" s="101" t="s">
        <v>232</v>
      </c>
      <c r="T19" s="104" t="s">
        <v>215</v>
      </c>
    </row>
    <row r="20" spans="1:23" ht="24" customHeight="1" thickTop="1">
      <c r="A20" s="70" t="s">
        <v>94</v>
      </c>
      <c r="F20" s="5"/>
      <c r="R20" s="6"/>
    </row>
    <row r="21" spans="1:23" ht="24" customHeight="1">
      <c r="A21" s="70" t="s">
        <v>95</v>
      </c>
      <c r="F21" s="96"/>
      <c r="G21" s="42"/>
      <c r="K21" s="6"/>
    </row>
    <row r="22" spans="1:23" ht="24" customHeight="1">
      <c r="A22" s="40" t="s">
        <v>82</v>
      </c>
      <c r="B22" s="41"/>
      <c r="C22" s="41"/>
      <c r="D22" s="41"/>
      <c r="E22" s="41"/>
      <c r="F22" s="41"/>
    </row>
    <row r="23" spans="1:23" ht="24" customHeight="1">
      <c r="A23" s="40" t="s">
        <v>84</v>
      </c>
      <c r="B23" s="41"/>
      <c r="C23" s="41"/>
      <c r="D23" s="41"/>
      <c r="E23" s="41"/>
      <c r="F23" s="41"/>
    </row>
    <row r="24" spans="1:23" ht="24" customHeight="1">
      <c r="A24" s="40" t="s">
        <v>87</v>
      </c>
      <c r="B24" s="41"/>
      <c r="C24" s="41"/>
      <c r="D24" s="41"/>
      <c r="E24" s="41"/>
      <c r="O24" s="123" t="s">
        <v>210</v>
      </c>
      <c r="Q24" s="125" t="s">
        <v>186</v>
      </c>
    </row>
    <row r="25" spans="1:23" ht="24" customHeight="1">
      <c r="A25" s="40" t="s">
        <v>88</v>
      </c>
      <c r="B25" s="41"/>
      <c r="C25" s="41"/>
      <c r="D25" s="41"/>
      <c r="E25" s="41"/>
    </row>
    <row r="26" spans="1:23" ht="24" customHeight="1">
      <c r="A26" s="40" t="s">
        <v>90</v>
      </c>
      <c r="B26" s="41"/>
      <c r="C26" s="37"/>
      <c r="D26" s="37"/>
      <c r="E26" s="37"/>
    </row>
    <row r="27" spans="1:23" ht="24" customHeight="1">
      <c r="A27" s="70" t="s">
        <v>94</v>
      </c>
    </row>
    <row r="28" spans="1:23" ht="24" customHeight="1">
      <c r="A28" s="70" t="s">
        <v>95</v>
      </c>
    </row>
  </sheetData>
  <phoneticPr fontId="4"/>
  <pageMargins left="0.75" right="0.75" top="1" bottom="1" header="0.51200000000000001" footer="0.51200000000000001"/>
  <pageSetup paperSize="9" orientation="portrait" horizontalDpi="30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A61"/>
  <sheetViews>
    <sheetView showGridLines="0" topLeftCell="A20" zoomScaleNormal="100" zoomScaleSheetLayoutView="100" workbookViewId="0">
      <selection activeCell="P18" sqref="P18"/>
    </sheetView>
  </sheetViews>
  <sheetFormatPr defaultColWidth="8.875" defaultRowHeight="13.5"/>
  <cols>
    <col min="1" max="2" width="6.75" style="4" customWidth="1"/>
    <col min="3" max="25" width="7.75" style="4" customWidth="1"/>
    <col min="26" max="27" width="6.625" style="4" customWidth="1"/>
    <col min="28" max="252" width="8.875" style="4"/>
    <col min="253" max="253" width="4.625" style="4" customWidth="1"/>
    <col min="254" max="254" width="3.625" style="4" customWidth="1"/>
    <col min="255" max="282" width="6.625" style="4" customWidth="1"/>
    <col min="283" max="508" width="8.875" style="4"/>
    <col min="509" max="509" width="4.625" style="4" customWidth="1"/>
    <col min="510" max="510" width="3.625" style="4" customWidth="1"/>
    <col min="511" max="538" width="6.625" style="4" customWidth="1"/>
    <col min="539" max="764" width="8.875" style="4"/>
    <col min="765" max="765" width="4.625" style="4" customWidth="1"/>
    <col min="766" max="766" width="3.625" style="4" customWidth="1"/>
    <col min="767" max="794" width="6.625" style="4" customWidth="1"/>
    <col min="795" max="1020" width="8.875" style="4"/>
    <col min="1021" max="1021" width="4.625" style="4" customWidth="1"/>
    <col min="1022" max="1022" width="3.625" style="4" customWidth="1"/>
    <col min="1023" max="1050" width="6.625" style="4" customWidth="1"/>
    <col min="1051" max="1276" width="8.875" style="4"/>
    <col min="1277" max="1277" width="4.625" style="4" customWidth="1"/>
    <col min="1278" max="1278" width="3.625" style="4" customWidth="1"/>
    <col min="1279" max="1306" width="6.625" style="4" customWidth="1"/>
    <col min="1307" max="1532" width="8.875" style="4"/>
    <col min="1533" max="1533" width="4.625" style="4" customWidth="1"/>
    <col min="1534" max="1534" width="3.625" style="4" customWidth="1"/>
    <col min="1535" max="1562" width="6.625" style="4" customWidth="1"/>
    <col min="1563" max="1788" width="8.875" style="4"/>
    <col min="1789" max="1789" width="4.625" style="4" customWidth="1"/>
    <col min="1790" max="1790" width="3.625" style="4" customWidth="1"/>
    <col min="1791" max="1818" width="6.625" style="4" customWidth="1"/>
    <col min="1819" max="2044" width="8.875" style="4"/>
    <col min="2045" max="2045" width="4.625" style="4" customWidth="1"/>
    <col min="2046" max="2046" width="3.625" style="4" customWidth="1"/>
    <col min="2047" max="2074" width="6.625" style="4" customWidth="1"/>
    <col min="2075" max="2300" width="8.875" style="4"/>
    <col min="2301" max="2301" width="4.625" style="4" customWidth="1"/>
    <col min="2302" max="2302" width="3.625" style="4" customWidth="1"/>
    <col min="2303" max="2330" width="6.625" style="4" customWidth="1"/>
    <col min="2331" max="2556" width="8.875" style="4"/>
    <col min="2557" max="2557" width="4.625" style="4" customWidth="1"/>
    <col min="2558" max="2558" width="3.625" style="4" customWidth="1"/>
    <col min="2559" max="2586" width="6.625" style="4" customWidth="1"/>
    <col min="2587" max="2812" width="8.875" style="4"/>
    <col min="2813" max="2813" width="4.625" style="4" customWidth="1"/>
    <col min="2814" max="2814" width="3.625" style="4" customWidth="1"/>
    <col min="2815" max="2842" width="6.625" style="4" customWidth="1"/>
    <col min="2843" max="3068" width="8.875" style="4"/>
    <col min="3069" max="3069" width="4.625" style="4" customWidth="1"/>
    <col min="3070" max="3070" width="3.625" style="4" customWidth="1"/>
    <col min="3071" max="3098" width="6.625" style="4" customWidth="1"/>
    <col min="3099" max="3324" width="8.875" style="4"/>
    <col min="3325" max="3325" width="4.625" style="4" customWidth="1"/>
    <col min="3326" max="3326" width="3.625" style="4" customWidth="1"/>
    <col min="3327" max="3354" width="6.625" style="4" customWidth="1"/>
    <col min="3355" max="3580" width="8.875" style="4"/>
    <col min="3581" max="3581" width="4.625" style="4" customWidth="1"/>
    <col min="3582" max="3582" width="3.625" style="4" customWidth="1"/>
    <col min="3583" max="3610" width="6.625" style="4" customWidth="1"/>
    <col min="3611" max="3836" width="8.875" style="4"/>
    <col min="3837" max="3837" width="4.625" style="4" customWidth="1"/>
    <col min="3838" max="3838" width="3.625" style="4" customWidth="1"/>
    <col min="3839" max="3866" width="6.625" style="4" customWidth="1"/>
    <col min="3867" max="4092" width="8.875" style="4"/>
    <col min="4093" max="4093" width="4.625" style="4" customWidth="1"/>
    <col min="4094" max="4094" width="3.625" style="4" customWidth="1"/>
    <col min="4095" max="4122" width="6.625" style="4" customWidth="1"/>
    <col min="4123" max="4348" width="8.875" style="4"/>
    <col min="4349" max="4349" width="4.625" style="4" customWidth="1"/>
    <col min="4350" max="4350" width="3.625" style="4" customWidth="1"/>
    <col min="4351" max="4378" width="6.625" style="4" customWidth="1"/>
    <col min="4379" max="4604" width="8.875" style="4"/>
    <col min="4605" max="4605" width="4.625" style="4" customWidth="1"/>
    <col min="4606" max="4606" width="3.625" style="4" customWidth="1"/>
    <col min="4607" max="4634" width="6.625" style="4" customWidth="1"/>
    <col min="4635" max="4860" width="8.875" style="4"/>
    <col min="4861" max="4861" width="4.625" style="4" customWidth="1"/>
    <col min="4862" max="4862" width="3.625" style="4" customWidth="1"/>
    <col min="4863" max="4890" width="6.625" style="4" customWidth="1"/>
    <col min="4891" max="5116" width="8.875" style="4"/>
    <col min="5117" max="5117" width="4.625" style="4" customWidth="1"/>
    <col min="5118" max="5118" width="3.625" style="4" customWidth="1"/>
    <col min="5119" max="5146" width="6.625" style="4" customWidth="1"/>
    <col min="5147" max="5372" width="8.875" style="4"/>
    <col min="5373" max="5373" width="4.625" style="4" customWidth="1"/>
    <col min="5374" max="5374" width="3.625" style="4" customWidth="1"/>
    <col min="5375" max="5402" width="6.625" style="4" customWidth="1"/>
    <col min="5403" max="5628" width="8.875" style="4"/>
    <col min="5629" max="5629" width="4.625" style="4" customWidth="1"/>
    <col min="5630" max="5630" width="3.625" style="4" customWidth="1"/>
    <col min="5631" max="5658" width="6.625" style="4" customWidth="1"/>
    <col min="5659" max="5884" width="8.875" style="4"/>
    <col min="5885" max="5885" width="4.625" style="4" customWidth="1"/>
    <col min="5886" max="5886" width="3.625" style="4" customWidth="1"/>
    <col min="5887" max="5914" width="6.625" style="4" customWidth="1"/>
    <col min="5915" max="6140" width="8.875" style="4"/>
    <col min="6141" max="6141" width="4.625" style="4" customWidth="1"/>
    <col min="6142" max="6142" width="3.625" style="4" customWidth="1"/>
    <col min="6143" max="6170" width="6.625" style="4" customWidth="1"/>
    <col min="6171" max="6396" width="8.875" style="4"/>
    <col min="6397" max="6397" width="4.625" style="4" customWidth="1"/>
    <col min="6398" max="6398" width="3.625" style="4" customWidth="1"/>
    <col min="6399" max="6426" width="6.625" style="4" customWidth="1"/>
    <col min="6427" max="6652" width="8.875" style="4"/>
    <col min="6653" max="6653" width="4.625" style="4" customWidth="1"/>
    <col min="6654" max="6654" width="3.625" style="4" customWidth="1"/>
    <col min="6655" max="6682" width="6.625" style="4" customWidth="1"/>
    <col min="6683" max="6908" width="8.875" style="4"/>
    <col min="6909" max="6909" width="4.625" style="4" customWidth="1"/>
    <col min="6910" max="6910" width="3.625" style="4" customWidth="1"/>
    <col min="6911" max="6938" width="6.625" style="4" customWidth="1"/>
    <col min="6939" max="7164" width="8.875" style="4"/>
    <col min="7165" max="7165" width="4.625" style="4" customWidth="1"/>
    <col min="7166" max="7166" width="3.625" style="4" customWidth="1"/>
    <col min="7167" max="7194" width="6.625" style="4" customWidth="1"/>
    <col min="7195" max="7420" width="8.875" style="4"/>
    <col min="7421" max="7421" width="4.625" style="4" customWidth="1"/>
    <col min="7422" max="7422" width="3.625" style="4" customWidth="1"/>
    <col min="7423" max="7450" width="6.625" style="4" customWidth="1"/>
    <col min="7451" max="7676" width="8.875" style="4"/>
    <col min="7677" max="7677" width="4.625" style="4" customWidth="1"/>
    <col min="7678" max="7678" width="3.625" style="4" customWidth="1"/>
    <col min="7679" max="7706" width="6.625" style="4" customWidth="1"/>
    <col min="7707" max="7932" width="8.875" style="4"/>
    <col min="7933" max="7933" width="4.625" style="4" customWidth="1"/>
    <col min="7934" max="7934" width="3.625" style="4" customWidth="1"/>
    <col min="7935" max="7962" width="6.625" style="4" customWidth="1"/>
    <col min="7963" max="8188" width="8.875" style="4"/>
    <col min="8189" max="8189" width="4.625" style="4" customWidth="1"/>
    <col min="8190" max="8190" width="3.625" style="4" customWidth="1"/>
    <col min="8191" max="8218" width="6.625" style="4" customWidth="1"/>
    <col min="8219" max="8444" width="8.875" style="4"/>
    <col min="8445" max="8445" width="4.625" style="4" customWidth="1"/>
    <col min="8446" max="8446" width="3.625" style="4" customWidth="1"/>
    <col min="8447" max="8474" width="6.625" style="4" customWidth="1"/>
    <col min="8475" max="8700" width="8.875" style="4"/>
    <col min="8701" max="8701" width="4.625" style="4" customWidth="1"/>
    <col min="8702" max="8702" width="3.625" style="4" customWidth="1"/>
    <col min="8703" max="8730" width="6.625" style="4" customWidth="1"/>
    <col min="8731" max="8956" width="8.875" style="4"/>
    <col min="8957" max="8957" width="4.625" style="4" customWidth="1"/>
    <col min="8958" max="8958" width="3.625" style="4" customWidth="1"/>
    <col min="8959" max="8986" width="6.625" style="4" customWidth="1"/>
    <col min="8987" max="9212" width="8.875" style="4"/>
    <col min="9213" max="9213" width="4.625" style="4" customWidth="1"/>
    <col min="9214" max="9214" width="3.625" style="4" customWidth="1"/>
    <col min="9215" max="9242" width="6.625" style="4" customWidth="1"/>
    <col min="9243" max="9468" width="8.875" style="4"/>
    <col min="9469" max="9469" width="4.625" style="4" customWidth="1"/>
    <col min="9470" max="9470" width="3.625" style="4" customWidth="1"/>
    <col min="9471" max="9498" width="6.625" style="4" customWidth="1"/>
    <col min="9499" max="9724" width="8.875" style="4"/>
    <col min="9725" max="9725" width="4.625" style="4" customWidth="1"/>
    <col min="9726" max="9726" width="3.625" style="4" customWidth="1"/>
    <col min="9727" max="9754" width="6.625" style="4" customWidth="1"/>
    <col min="9755" max="9980" width="8.875" style="4"/>
    <col min="9981" max="9981" width="4.625" style="4" customWidth="1"/>
    <col min="9982" max="9982" width="3.625" style="4" customWidth="1"/>
    <col min="9983" max="10010" width="6.625" style="4" customWidth="1"/>
    <col min="10011" max="10236" width="8.875" style="4"/>
    <col min="10237" max="10237" width="4.625" style="4" customWidth="1"/>
    <col min="10238" max="10238" width="3.625" style="4" customWidth="1"/>
    <col min="10239" max="10266" width="6.625" style="4" customWidth="1"/>
    <col min="10267" max="10492" width="8.875" style="4"/>
    <col min="10493" max="10493" width="4.625" style="4" customWidth="1"/>
    <col min="10494" max="10494" width="3.625" style="4" customWidth="1"/>
    <col min="10495" max="10522" width="6.625" style="4" customWidth="1"/>
    <col min="10523" max="10748" width="8.875" style="4"/>
    <col min="10749" max="10749" width="4.625" style="4" customWidth="1"/>
    <col min="10750" max="10750" width="3.625" style="4" customWidth="1"/>
    <col min="10751" max="10778" width="6.625" style="4" customWidth="1"/>
    <col min="10779" max="11004" width="8.875" style="4"/>
    <col min="11005" max="11005" width="4.625" style="4" customWidth="1"/>
    <col min="11006" max="11006" width="3.625" style="4" customWidth="1"/>
    <col min="11007" max="11034" width="6.625" style="4" customWidth="1"/>
    <col min="11035" max="11260" width="8.875" style="4"/>
    <col min="11261" max="11261" width="4.625" style="4" customWidth="1"/>
    <col min="11262" max="11262" width="3.625" style="4" customWidth="1"/>
    <col min="11263" max="11290" width="6.625" style="4" customWidth="1"/>
    <col min="11291" max="11516" width="8.875" style="4"/>
    <col min="11517" max="11517" width="4.625" style="4" customWidth="1"/>
    <col min="11518" max="11518" width="3.625" style="4" customWidth="1"/>
    <col min="11519" max="11546" width="6.625" style="4" customWidth="1"/>
    <col min="11547" max="11772" width="8.875" style="4"/>
    <col min="11773" max="11773" width="4.625" style="4" customWidth="1"/>
    <col min="11774" max="11774" width="3.625" style="4" customWidth="1"/>
    <col min="11775" max="11802" width="6.625" style="4" customWidth="1"/>
    <col min="11803" max="12028" width="8.875" style="4"/>
    <col min="12029" max="12029" width="4.625" style="4" customWidth="1"/>
    <col min="12030" max="12030" width="3.625" style="4" customWidth="1"/>
    <col min="12031" max="12058" width="6.625" style="4" customWidth="1"/>
    <col min="12059" max="12284" width="8.875" style="4"/>
    <col min="12285" max="12285" width="4.625" style="4" customWidth="1"/>
    <col min="12286" max="12286" width="3.625" style="4" customWidth="1"/>
    <col min="12287" max="12314" width="6.625" style="4" customWidth="1"/>
    <col min="12315" max="12540" width="8.875" style="4"/>
    <col min="12541" max="12541" width="4.625" style="4" customWidth="1"/>
    <col min="12542" max="12542" width="3.625" style="4" customWidth="1"/>
    <col min="12543" max="12570" width="6.625" style="4" customWidth="1"/>
    <col min="12571" max="12796" width="8.875" style="4"/>
    <col min="12797" max="12797" width="4.625" style="4" customWidth="1"/>
    <col min="12798" max="12798" width="3.625" style="4" customWidth="1"/>
    <col min="12799" max="12826" width="6.625" style="4" customWidth="1"/>
    <col min="12827" max="13052" width="8.875" style="4"/>
    <col min="13053" max="13053" width="4.625" style="4" customWidth="1"/>
    <col min="13054" max="13054" width="3.625" style="4" customWidth="1"/>
    <col min="13055" max="13082" width="6.625" style="4" customWidth="1"/>
    <col min="13083" max="13308" width="8.875" style="4"/>
    <col min="13309" max="13309" width="4.625" style="4" customWidth="1"/>
    <col min="13310" max="13310" width="3.625" style="4" customWidth="1"/>
    <col min="13311" max="13338" width="6.625" style="4" customWidth="1"/>
    <col min="13339" max="13564" width="8.875" style="4"/>
    <col min="13565" max="13565" width="4.625" style="4" customWidth="1"/>
    <col min="13566" max="13566" width="3.625" style="4" customWidth="1"/>
    <col min="13567" max="13594" width="6.625" style="4" customWidth="1"/>
    <col min="13595" max="13820" width="8.875" style="4"/>
    <col min="13821" max="13821" width="4.625" style="4" customWidth="1"/>
    <col min="13822" max="13822" width="3.625" style="4" customWidth="1"/>
    <col min="13823" max="13850" width="6.625" style="4" customWidth="1"/>
    <col min="13851" max="14076" width="8.875" style="4"/>
    <col min="14077" max="14077" width="4.625" style="4" customWidth="1"/>
    <col min="14078" max="14078" width="3.625" style="4" customWidth="1"/>
    <col min="14079" max="14106" width="6.625" style="4" customWidth="1"/>
    <col min="14107" max="14332" width="8.875" style="4"/>
    <col min="14333" max="14333" width="4.625" style="4" customWidth="1"/>
    <col min="14334" max="14334" width="3.625" style="4" customWidth="1"/>
    <col min="14335" max="14362" width="6.625" style="4" customWidth="1"/>
    <col min="14363" max="14588" width="8.875" style="4"/>
    <col min="14589" max="14589" width="4.625" style="4" customWidth="1"/>
    <col min="14590" max="14590" width="3.625" style="4" customWidth="1"/>
    <col min="14591" max="14618" width="6.625" style="4" customWidth="1"/>
    <col min="14619" max="14844" width="8.875" style="4"/>
    <col min="14845" max="14845" width="4.625" style="4" customWidth="1"/>
    <col min="14846" max="14846" width="3.625" style="4" customWidth="1"/>
    <col min="14847" max="14874" width="6.625" style="4" customWidth="1"/>
    <col min="14875" max="15100" width="8.875" style="4"/>
    <col min="15101" max="15101" width="4.625" style="4" customWidth="1"/>
    <col min="15102" max="15102" width="3.625" style="4" customWidth="1"/>
    <col min="15103" max="15130" width="6.625" style="4" customWidth="1"/>
    <col min="15131" max="15356" width="8.875" style="4"/>
    <col min="15357" max="15357" width="4.625" style="4" customWidth="1"/>
    <col min="15358" max="15358" width="3.625" style="4" customWidth="1"/>
    <col min="15359" max="15386" width="6.625" style="4" customWidth="1"/>
    <col min="15387" max="15612" width="8.875" style="4"/>
    <col min="15613" max="15613" width="4.625" style="4" customWidth="1"/>
    <col min="15614" max="15614" width="3.625" style="4" customWidth="1"/>
    <col min="15615" max="15642" width="6.625" style="4" customWidth="1"/>
    <col min="15643" max="15868" width="8.875" style="4"/>
    <col min="15869" max="15869" width="4.625" style="4" customWidth="1"/>
    <col min="15870" max="15870" width="3.625" style="4" customWidth="1"/>
    <col min="15871" max="15898" width="6.625" style="4" customWidth="1"/>
    <col min="15899" max="16124" width="8.875" style="4"/>
    <col min="16125" max="16125" width="4.625" style="4" customWidth="1"/>
    <col min="16126" max="16126" width="3.625" style="4" customWidth="1"/>
    <col min="16127" max="16154" width="6.625" style="4" customWidth="1"/>
    <col min="16155" max="16384" width="8.875" style="4"/>
  </cols>
  <sheetData>
    <row r="1" spans="1:27" ht="4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D2" s="73" t="s">
        <v>233</v>
      </c>
      <c r="AA2" s="6"/>
    </row>
    <row r="3" spans="1:27" ht="32.25">
      <c r="A3" s="5"/>
      <c r="E3" s="83" t="s">
        <v>303</v>
      </c>
      <c r="G3" s="84"/>
      <c r="H3" s="84"/>
      <c r="I3" s="84"/>
      <c r="P3" s="7"/>
      <c r="Q3" s="7"/>
      <c r="R3" s="7"/>
      <c r="U3" s="8"/>
      <c r="AA3" s="6"/>
    </row>
    <row r="4" spans="1:27" ht="15" customHeight="1">
      <c r="A4" s="5"/>
      <c r="B4" s="83"/>
      <c r="G4" s="84"/>
      <c r="H4" s="84"/>
      <c r="I4" s="84"/>
      <c r="P4" s="7"/>
      <c r="Q4" s="7"/>
      <c r="R4" s="7"/>
      <c r="U4" s="8"/>
      <c r="AA4" s="6"/>
    </row>
    <row r="5" spans="1:27" ht="30" customHeight="1">
      <c r="A5" s="9" t="s">
        <v>0</v>
      </c>
      <c r="B5" s="10"/>
      <c r="C5" s="10"/>
      <c r="D5" s="10"/>
      <c r="E5" s="10"/>
      <c r="F5" s="10"/>
      <c r="H5" s="83" t="s">
        <v>297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 t="s">
        <v>1</v>
      </c>
      <c r="U5" s="12"/>
      <c r="V5" s="10"/>
      <c r="W5" s="10"/>
      <c r="X5" s="10"/>
      <c r="Y5" s="10"/>
      <c r="Z5" s="10"/>
      <c r="AA5" s="13"/>
    </row>
    <row r="6" spans="1:27" ht="10.15" customHeight="1" thickBot="1">
      <c r="A6" s="9"/>
      <c r="B6" s="10"/>
      <c r="C6" s="10"/>
      <c r="D6" s="10"/>
      <c r="E6" s="10"/>
      <c r="F6" s="83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12"/>
      <c r="V6" s="10"/>
      <c r="W6" s="10"/>
      <c r="X6" s="10"/>
      <c r="Y6" s="10"/>
      <c r="Z6" s="10"/>
      <c r="AA6" s="13"/>
    </row>
    <row r="7" spans="1:27" ht="30" customHeight="1" thickTop="1" thickBot="1">
      <c r="A7" s="9"/>
      <c r="B7" s="10"/>
      <c r="C7" s="10"/>
      <c r="D7" s="10"/>
      <c r="E7" s="106" t="s">
        <v>178</v>
      </c>
      <c r="F7" s="107"/>
      <c r="G7" s="108" t="s">
        <v>179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12"/>
      <c r="V7" s="10"/>
      <c r="W7" s="10"/>
      <c r="X7" s="10"/>
      <c r="Y7" s="10"/>
      <c r="Z7" s="10"/>
      <c r="AA7" s="13"/>
    </row>
    <row r="8" spans="1:27" ht="20.25" thickTop="1">
      <c r="A8" s="5"/>
      <c r="L8" s="14"/>
      <c r="M8" s="394"/>
      <c r="N8" s="394"/>
      <c r="U8" s="14"/>
      <c r="Z8" s="47"/>
      <c r="AA8" s="48"/>
    </row>
    <row r="9" spans="1:27" ht="24.95" customHeight="1">
      <c r="A9" s="358" t="s">
        <v>2</v>
      </c>
      <c r="B9" s="359"/>
      <c r="C9" s="362" t="s">
        <v>199</v>
      </c>
      <c r="D9" s="363"/>
      <c r="E9" s="364"/>
      <c r="F9" s="372" t="s">
        <v>3</v>
      </c>
      <c r="G9" s="373"/>
      <c r="H9" s="373"/>
      <c r="I9" s="373"/>
      <c r="J9" s="373"/>
      <c r="K9" s="374"/>
      <c r="L9" s="399" t="s">
        <v>195</v>
      </c>
      <c r="M9" s="400"/>
      <c r="N9" s="400"/>
      <c r="O9" s="400"/>
      <c r="P9" s="400"/>
      <c r="Q9" s="400"/>
      <c r="R9" s="401"/>
      <c r="S9" s="395" t="s">
        <v>195</v>
      </c>
      <c r="T9" s="396"/>
      <c r="U9" s="396"/>
      <c r="V9" s="396"/>
      <c r="W9" s="396"/>
      <c r="X9" s="396"/>
      <c r="Y9" s="397"/>
      <c r="Z9" s="358" t="s">
        <v>2</v>
      </c>
      <c r="AA9" s="359"/>
    </row>
    <row r="10" spans="1:27" ht="24.95" customHeight="1">
      <c r="A10" s="353" t="s">
        <v>4</v>
      </c>
      <c r="B10" s="354"/>
      <c r="C10" s="365"/>
      <c r="D10" s="366"/>
      <c r="E10" s="367"/>
      <c r="F10" s="375" t="s">
        <v>197</v>
      </c>
      <c r="G10" s="376"/>
      <c r="H10" s="376"/>
      <c r="I10" s="376"/>
      <c r="J10" s="376"/>
      <c r="K10" s="377"/>
      <c r="L10" s="402" t="s">
        <v>193</v>
      </c>
      <c r="M10" s="403"/>
      <c r="N10" s="403"/>
      <c r="O10" s="403"/>
      <c r="P10" s="403"/>
      <c r="Q10" s="403"/>
      <c r="R10" s="404"/>
      <c r="S10" s="375" t="s">
        <v>196</v>
      </c>
      <c r="T10" s="376"/>
      <c r="U10" s="376"/>
      <c r="V10" s="376"/>
      <c r="W10" s="376"/>
      <c r="X10" s="376"/>
      <c r="Y10" s="398"/>
      <c r="Z10" s="353" t="s">
        <v>4</v>
      </c>
      <c r="AA10" s="354"/>
    </row>
    <row r="11" spans="1:27" ht="30" customHeight="1">
      <c r="A11" s="360" t="s">
        <v>5</v>
      </c>
      <c r="B11" s="361"/>
      <c r="C11" s="85" t="s">
        <v>6</v>
      </c>
      <c r="D11" s="85" t="s">
        <v>7</v>
      </c>
      <c r="E11" s="86" t="s">
        <v>8</v>
      </c>
      <c r="F11" s="87" t="s">
        <v>6</v>
      </c>
      <c r="G11" s="88" t="s">
        <v>7</v>
      </c>
      <c r="H11" s="85" t="s">
        <v>8</v>
      </c>
      <c r="I11" s="89" t="s">
        <v>9</v>
      </c>
      <c r="J11" s="89" t="s">
        <v>96</v>
      </c>
      <c r="K11" s="89" t="s">
        <v>173</v>
      </c>
      <c r="L11" s="87" t="s">
        <v>6</v>
      </c>
      <c r="M11" s="85" t="s">
        <v>7</v>
      </c>
      <c r="N11" s="85" t="s">
        <v>8</v>
      </c>
      <c r="O11" s="89" t="s">
        <v>9</v>
      </c>
      <c r="P11" s="85" t="s">
        <v>96</v>
      </c>
      <c r="Q11" s="89" t="s">
        <v>173</v>
      </c>
      <c r="R11" s="89" t="s">
        <v>177</v>
      </c>
      <c r="S11" s="87" t="s">
        <v>6</v>
      </c>
      <c r="T11" s="89" t="s">
        <v>7</v>
      </c>
      <c r="U11" s="85" t="s">
        <v>8</v>
      </c>
      <c r="V11" s="88" t="s">
        <v>9</v>
      </c>
      <c r="W11" s="85" t="s">
        <v>96</v>
      </c>
      <c r="X11" s="85" t="s">
        <v>173</v>
      </c>
      <c r="Y11" s="85" t="s">
        <v>177</v>
      </c>
      <c r="Z11" s="360" t="s">
        <v>216</v>
      </c>
      <c r="AA11" s="361"/>
    </row>
    <row r="12" spans="1:27" ht="35.1" customHeight="1" thickBot="1">
      <c r="A12" s="15">
        <v>1</v>
      </c>
      <c r="B12" s="136" t="s">
        <v>95</v>
      </c>
      <c r="C12" s="414" t="s">
        <v>241</v>
      </c>
      <c r="D12" s="415"/>
      <c r="E12" s="415"/>
      <c r="F12" s="415"/>
      <c r="G12" s="415"/>
      <c r="H12" s="415"/>
      <c r="I12" s="415"/>
      <c r="J12" s="415"/>
      <c r="K12" s="415"/>
      <c r="L12" s="415"/>
      <c r="M12" s="415"/>
      <c r="N12" s="415"/>
      <c r="O12" s="415"/>
      <c r="P12" s="415"/>
      <c r="Q12" s="415"/>
      <c r="R12" s="415"/>
      <c r="S12" s="415"/>
      <c r="T12" s="415"/>
      <c r="U12" s="415"/>
      <c r="V12" s="415"/>
      <c r="W12" s="415"/>
      <c r="X12" s="415"/>
      <c r="Y12" s="415"/>
      <c r="Z12" s="15">
        <v>1</v>
      </c>
      <c r="AA12" s="136" t="s">
        <v>95</v>
      </c>
    </row>
    <row r="13" spans="1:27" ht="35.1" customHeight="1" thickTop="1" thickBot="1">
      <c r="A13" s="16">
        <v>2</v>
      </c>
      <c r="B13" s="17" t="s">
        <v>82</v>
      </c>
      <c r="C13" s="370" t="s">
        <v>242</v>
      </c>
      <c r="D13" s="371"/>
      <c r="E13" s="392" t="s">
        <v>294</v>
      </c>
      <c r="F13" s="393"/>
      <c r="G13" s="318" t="s">
        <v>154</v>
      </c>
      <c r="H13" s="180"/>
      <c r="I13" s="166"/>
      <c r="J13" s="71"/>
      <c r="K13" s="177"/>
      <c r="L13" s="308" t="s">
        <v>181</v>
      </c>
      <c r="N13" s="304" t="s">
        <v>48</v>
      </c>
      <c r="O13" s="248" t="s">
        <v>162</v>
      </c>
      <c r="P13" s="71"/>
      <c r="Q13" s="71"/>
      <c r="R13" s="249" t="s">
        <v>146</v>
      </c>
      <c r="S13" s="305" t="s">
        <v>161</v>
      </c>
      <c r="U13" s="71"/>
      <c r="V13" s="248" t="s">
        <v>156</v>
      </c>
      <c r="W13" s="71"/>
      <c r="X13" s="71"/>
      <c r="Y13" s="250" t="s">
        <v>218</v>
      </c>
      <c r="Z13" s="16">
        <v>2</v>
      </c>
      <c r="AA13" s="17" t="s">
        <v>82</v>
      </c>
    </row>
    <row r="14" spans="1:27" ht="35.1" customHeight="1" thickTop="1" thickBot="1">
      <c r="A14" s="16">
        <v>3</v>
      </c>
      <c r="B14" s="17" t="s">
        <v>84</v>
      </c>
      <c r="C14" s="63"/>
      <c r="D14" s="46"/>
      <c r="E14" s="46"/>
      <c r="F14" s="292" t="s">
        <v>149</v>
      </c>
      <c r="G14" s="131" t="s">
        <v>163</v>
      </c>
      <c r="H14" s="180"/>
      <c r="I14" s="166"/>
      <c r="J14" s="71"/>
      <c r="K14" s="176"/>
      <c r="L14" s="271" t="s">
        <v>222</v>
      </c>
      <c r="M14" s="180"/>
      <c r="N14" s="285" t="s">
        <v>223</v>
      </c>
      <c r="O14" s="309" t="s">
        <v>180</v>
      </c>
      <c r="P14" s="71"/>
      <c r="Q14" s="71"/>
      <c r="R14" s="170"/>
      <c r="S14" s="251" t="s">
        <v>166</v>
      </c>
      <c r="T14" s="179"/>
      <c r="U14" s="306" t="s">
        <v>225</v>
      </c>
      <c r="W14" s="71"/>
      <c r="X14" s="71"/>
      <c r="Y14" s="164"/>
      <c r="Z14" s="16">
        <v>3</v>
      </c>
      <c r="AA14" s="17" t="s">
        <v>84</v>
      </c>
    </row>
    <row r="15" spans="1:27" ht="35.1" customHeight="1" thickTop="1" thickBot="1">
      <c r="A15" s="18">
        <v>4</v>
      </c>
      <c r="B15" s="17" t="s">
        <v>87</v>
      </c>
      <c r="C15" s="55"/>
      <c r="D15" s="46"/>
      <c r="E15" s="46"/>
      <c r="F15" s="314" t="s">
        <v>164</v>
      </c>
      <c r="G15" s="319" t="s">
        <v>201</v>
      </c>
      <c r="H15" s="179"/>
      <c r="I15" s="166"/>
      <c r="J15" s="71"/>
      <c r="K15" s="176"/>
      <c r="L15" s="310" t="s">
        <v>202</v>
      </c>
      <c r="N15" s="237"/>
      <c r="O15" s="248" t="s">
        <v>73</v>
      </c>
      <c r="P15" s="71"/>
      <c r="Q15" s="71"/>
      <c r="R15" s="170"/>
      <c r="S15" s="225"/>
      <c r="T15" s="272" t="s">
        <v>215</v>
      </c>
      <c r="V15" s="248" t="s">
        <v>160</v>
      </c>
      <c r="W15" s="71"/>
      <c r="X15" s="252" t="s">
        <v>148</v>
      </c>
      <c r="Y15" s="164"/>
      <c r="Z15" s="18">
        <v>4</v>
      </c>
      <c r="AA15" s="17" t="s">
        <v>87</v>
      </c>
    </row>
    <row r="16" spans="1:27" ht="35.1" customHeight="1" thickTop="1" thickBot="1">
      <c r="A16" s="16">
        <v>5</v>
      </c>
      <c r="B16" s="17" t="s">
        <v>88</v>
      </c>
      <c r="C16" s="63"/>
      <c r="D16" s="46"/>
      <c r="E16" s="46"/>
      <c r="F16" s="315" t="s">
        <v>221</v>
      </c>
      <c r="G16" s="297" t="s">
        <v>214</v>
      </c>
      <c r="H16" s="301" t="s">
        <v>204</v>
      </c>
      <c r="I16" s="166"/>
      <c r="J16" s="71"/>
      <c r="K16" s="176"/>
      <c r="L16" s="253" t="s">
        <v>167</v>
      </c>
      <c r="M16" s="311" t="s">
        <v>158</v>
      </c>
      <c r="N16" s="283" t="s">
        <v>185</v>
      </c>
      <c r="O16" s="302" t="s">
        <v>304</v>
      </c>
      <c r="P16" s="71"/>
      <c r="Q16" s="254" t="s">
        <v>224</v>
      </c>
      <c r="R16" s="170"/>
      <c r="S16" s="255" t="s">
        <v>168</v>
      </c>
      <c r="T16" s="271" t="s">
        <v>165</v>
      </c>
      <c r="U16" s="253" t="s">
        <v>145</v>
      </c>
      <c r="W16" s="71"/>
      <c r="X16" s="71"/>
      <c r="Y16" s="164"/>
      <c r="Z16" s="16">
        <v>5</v>
      </c>
      <c r="AA16" s="17" t="s">
        <v>88</v>
      </c>
    </row>
    <row r="17" spans="1:27" ht="35.1" customHeight="1" thickTop="1" thickBot="1">
      <c r="A17" s="19">
        <v>6</v>
      </c>
      <c r="B17" s="17" t="s">
        <v>90</v>
      </c>
      <c r="C17" s="63"/>
      <c r="D17" s="46"/>
      <c r="E17" s="46"/>
      <c r="F17" s="316" t="s">
        <v>182</v>
      </c>
      <c r="G17" s="102" t="s">
        <v>211</v>
      </c>
      <c r="H17" s="299" t="s">
        <v>89</v>
      </c>
      <c r="I17" s="166"/>
      <c r="J17" s="71"/>
      <c r="K17" s="176"/>
      <c r="L17" s="274" t="s">
        <v>205</v>
      </c>
      <c r="M17" s="275" t="s">
        <v>212</v>
      </c>
      <c r="N17" s="281" t="s">
        <v>153</v>
      </c>
      <c r="O17" s="248" t="s">
        <v>159</v>
      </c>
      <c r="P17" s="71"/>
      <c r="Q17" s="71"/>
      <c r="R17" s="192"/>
      <c r="S17" s="257" t="s">
        <v>176</v>
      </c>
      <c r="T17" s="259" t="s">
        <v>219</v>
      </c>
      <c r="U17" s="240"/>
      <c r="V17" s="166"/>
      <c r="W17" s="71"/>
      <c r="X17" s="71"/>
      <c r="Y17" s="164"/>
      <c r="Z17" s="19">
        <v>6</v>
      </c>
      <c r="AA17" s="17" t="s">
        <v>90</v>
      </c>
    </row>
    <row r="18" spans="1:27" ht="35.1" customHeight="1" thickTop="1" thickBot="1">
      <c r="A18" s="16">
        <v>7</v>
      </c>
      <c r="B18" s="137" t="s">
        <v>94</v>
      </c>
      <c r="C18" s="63"/>
      <c r="D18" s="46"/>
      <c r="E18" s="46"/>
      <c r="F18" s="227"/>
      <c r="G18" s="93" t="s">
        <v>185</v>
      </c>
      <c r="H18" s="226"/>
      <c r="I18" s="178"/>
      <c r="J18" s="165"/>
      <c r="K18" s="177"/>
      <c r="L18" s="303" t="s">
        <v>305</v>
      </c>
      <c r="M18" s="340" t="s">
        <v>309</v>
      </c>
      <c r="N18" s="341" t="s">
        <v>308</v>
      </c>
      <c r="O18" s="219"/>
      <c r="P18" s="165"/>
      <c r="Q18" s="165"/>
      <c r="R18" s="172"/>
      <c r="S18" s="271" t="s">
        <v>275</v>
      </c>
      <c r="T18" s="341" t="s">
        <v>307</v>
      </c>
      <c r="U18" s="340" t="s">
        <v>302</v>
      </c>
      <c r="V18" s="46"/>
      <c r="W18" s="165"/>
      <c r="X18" s="165"/>
      <c r="Y18" s="162"/>
      <c r="Z18" s="16">
        <v>7</v>
      </c>
      <c r="AA18" s="137" t="s">
        <v>94</v>
      </c>
    </row>
    <row r="19" spans="1:27" ht="35.1" customHeight="1" thickTop="1" thickBot="1">
      <c r="A19" s="19">
        <v>8</v>
      </c>
      <c r="B19" s="137" t="s">
        <v>95</v>
      </c>
      <c r="C19" s="64"/>
      <c r="D19" s="46"/>
      <c r="E19" s="46"/>
      <c r="F19" s="46"/>
      <c r="G19" s="46"/>
      <c r="H19" s="46"/>
      <c r="I19" s="46"/>
      <c r="J19" s="46"/>
      <c r="K19" s="46"/>
      <c r="L19" s="148"/>
      <c r="M19" s="148"/>
      <c r="N19" s="46"/>
      <c r="O19" s="46"/>
      <c r="P19" s="46"/>
      <c r="Q19" s="46"/>
      <c r="R19" s="46"/>
      <c r="S19" s="148"/>
      <c r="T19" s="148"/>
      <c r="U19" s="46"/>
      <c r="V19" s="46"/>
      <c r="W19" s="46"/>
      <c r="X19" s="46"/>
      <c r="Y19" s="56"/>
      <c r="Z19" s="19">
        <v>8</v>
      </c>
      <c r="AA19" s="137" t="s">
        <v>95</v>
      </c>
    </row>
    <row r="20" spans="1:27" ht="35.1" customHeight="1" thickTop="1" thickBot="1">
      <c r="A20" s="19">
        <v>9</v>
      </c>
      <c r="B20" s="17" t="s">
        <v>82</v>
      </c>
      <c r="C20" s="63"/>
      <c r="D20" s="46"/>
      <c r="E20" s="46"/>
      <c r="F20" s="133"/>
      <c r="G20" s="320" t="s">
        <v>154</v>
      </c>
      <c r="H20" s="180"/>
      <c r="I20" s="166"/>
      <c r="J20" s="71"/>
      <c r="K20" s="177"/>
      <c r="L20" s="312" t="s">
        <v>181</v>
      </c>
      <c r="N20" s="304" t="s">
        <v>48</v>
      </c>
      <c r="O20" s="219"/>
      <c r="P20" s="71"/>
      <c r="Q20" s="71"/>
      <c r="R20" s="170"/>
      <c r="S20" s="305" t="s">
        <v>161</v>
      </c>
      <c r="T20" s="251" t="s">
        <v>232</v>
      </c>
      <c r="V20" s="71"/>
      <c r="W20" s="71"/>
      <c r="X20" s="71"/>
      <c r="Y20" s="164"/>
      <c r="Z20" s="19">
        <v>9</v>
      </c>
      <c r="AA20" s="17" t="s">
        <v>82</v>
      </c>
    </row>
    <row r="21" spans="1:27" ht="35.1" customHeight="1" thickTop="1" thickBot="1">
      <c r="A21" s="20">
        <v>10</v>
      </c>
      <c r="B21" s="17" t="s">
        <v>84</v>
      </c>
      <c r="C21" s="63"/>
      <c r="D21" s="46"/>
      <c r="E21" s="46"/>
      <c r="F21" s="292" t="s">
        <v>149</v>
      </c>
      <c r="G21" s="131" t="s">
        <v>163</v>
      </c>
      <c r="H21" s="180"/>
      <c r="I21" s="166"/>
      <c r="J21" s="71"/>
      <c r="K21" s="176"/>
      <c r="L21" s="271" t="s">
        <v>222</v>
      </c>
      <c r="M21" s="179"/>
      <c r="N21" s="285" t="s">
        <v>223</v>
      </c>
      <c r="O21" s="309" t="s">
        <v>180</v>
      </c>
      <c r="P21" s="71"/>
      <c r="Q21" s="71"/>
      <c r="R21" s="170"/>
      <c r="S21" s="251" t="s">
        <v>166</v>
      </c>
      <c r="T21" s="251" t="s">
        <v>167</v>
      </c>
      <c r="U21" s="306" t="s">
        <v>225</v>
      </c>
      <c r="W21" s="71"/>
      <c r="X21" s="71"/>
      <c r="Y21" s="164"/>
      <c r="Z21" s="20">
        <v>10</v>
      </c>
      <c r="AA21" s="17" t="s">
        <v>84</v>
      </c>
    </row>
    <row r="22" spans="1:27" ht="35.1" customHeight="1" thickTop="1" thickBot="1">
      <c r="A22" s="20">
        <v>11</v>
      </c>
      <c r="B22" s="17" t="s">
        <v>87</v>
      </c>
      <c r="C22" s="55"/>
      <c r="D22" s="46"/>
      <c r="E22" s="46"/>
      <c r="F22" s="314" t="s">
        <v>164</v>
      </c>
      <c r="G22" s="319" t="s">
        <v>201</v>
      </c>
      <c r="H22" s="179"/>
      <c r="I22" s="166"/>
      <c r="J22" s="71"/>
      <c r="K22" s="176"/>
      <c r="L22" s="310" t="s">
        <v>202</v>
      </c>
      <c r="M22" s="260" t="s">
        <v>159</v>
      </c>
      <c r="N22" s="303" t="s">
        <v>306</v>
      </c>
      <c r="P22" s="71"/>
      <c r="Q22" s="71"/>
      <c r="R22" s="170"/>
      <c r="S22" s="225"/>
      <c r="T22" s="272" t="s">
        <v>215</v>
      </c>
      <c r="V22" s="248" t="s">
        <v>160</v>
      </c>
      <c r="W22" s="71"/>
      <c r="X22" s="71"/>
      <c r="Y22" s="164"/>
      <c r="Z22" s="20">
        <v>11</v>
      </c>
      <c r="AA22" s="17" t="s">
        <v>87</v>
      </c>
    </row>
    <row r="23" spans="1:27" ht="35.1" customHeight="1" thickTop="1" thickBot="1">
      <c r="A23" s="20">
        <v>12</v>
      </c>
      <c r="B23" s="17" t="s">
        <v>88</v>
      </c>
      <c r="C23" s="63"/>
      <c r="D23" s="46"/>
      <c r="E23" s="46"/>
      <c r="F23" s="315" t="s">
        <v>221</v>
      </c>
      <c r="G23" s="297" t="s">
        <v>214</v>
      </c>
      <c r="H23" s="301" t="s">
        <v>204</v>
      </c>
      <c r="I23" s="166"/>
      <c r="J23" s="71"/>
      <c r="K23" s="176"/>
      <c r="L23" s="253" t="s">
        <v>167</v>
      </c>
      <c r="M23" s="311" t="s">
        <v>158</v>
      </c>
      <c r="N23" s="283" t="s">
        <v>185</v>
      </c>
      <c r="O23" s="307" t="s">
        <v>210</v>
      </c>
      <c r="P23" s="71"/>
      <c r="Q23" s="254" t="s">
        <v>224</v>
      </c>
      <c r="R23" s="170"/>
      <c r="S23" s="255" t="s">
        <v>168</v>
      </c>
      <c r="T23" s="271" t="s">
        <v>165</v>
      </c>
      <c r="U23" s="253" t="s">
        <v>145</v>
      </c>
      <c r="W23" s="71"/>
      <c r="X23" s="71"/>
      <c r="Y23" s="164"/>
      <c r="Z23" s="20">
        <v>12</v>
      </c>
      <c r="AA23" s="17" t="s">
        <v>88</v>
      </c>
    </row>
    <row r="24" spans="1:27" ht="35.1" customHeight="1" thickTop="1" thickBot="1">
      <c r="A24" s="21">
        <v>13</v>
      </c>
      <c r="B24" s="17" t="s">
        <v>90</v>
      </c>
      <c r="C24" s="63"/>
      <c r="D24" s="46"/>
      <c r="E24" s="46"/>
      <c r="F24" s="316" t="s">
        <v>182</v>
      </c>
      <c r="G24" s="102" t="s">
        <v>211</v>
      </c>
      <c r="H24" s="299" t="s">
        <v>89</v>
      </c>
      <c r="I24" s="166"/>
      <c r="J24" s="71"/>
      <c r="K24" s="176"/>
      <c r="L24" s="274" t="s">
        <v>205</v>
      </c>
      <c r="M24" s="275" t="s">
        <v>212</v>
      </c>
      <c r="N24" s="281" t="s">
        <v>153</v>
      </c>
      <c r="O24" s="248" t="s">
        <v>159</v>
      </c>
      <c r="P24" s="71"/>
      <c r="Q24" s="71"/>
      <c r="R24" s="192"/>
      <c r="S24" s="257" t="s">
        <v>176</v>
      </c>
      <c r="T24" s="259" t="s">
        <v>219</v>
      </c>
      <c r="U24" s="243"/>
      <c r="V24" s="166"/>
      <c r="W24" s="71"/>
      <c r="Y24" s="164"/>
      <c r="Z24" s="21">
        <v>13</v>
      </c>
      <c r="AA24" s="17" t="s">
        <v>90</v>
      </c>
    </row>
    <row r="25" spans="1:27" ht="35.1" customHeight="1" thickTop="1" thickBot="1">
      <c r="A25" s="21">
        <v>14</v>
      </c>
      <c r="B25" s="137" t="s">
        <v>94</v>
      </c>
      <c r="D25" s="71"/>
      <c r="E25" s="229"/>
      <c r="F25" s="259" t="s">
        <v>176</v>
      </c>
      <c r="G25" s="283" t="s">
        <v>213</v>
      </c>
      <c r="H25" s="226"/>
      <c r="I25" s="178"/>
      <c r="J25" s="165"/>
      <c r="K25" s="177"/>
      <c r="L25" s="275" t="s">
        <v>205</v>
      </c>
      <c r="M25" s="260" t="s">
        <v>160</v>
      </c>
      <c r="N25" s="283" t="s">
        <v>153</v>
      </c>
      <c r="O25" s="236"/>
      <c r="P25" s="165"/>
      <c r="Q25" s="165"/>
      <c r="R25" s="172"/>
      <c r="S25" s="259" t="s">
        <v>219</v>
      </c>
      <c r="T25" s="302" t="s">
        <v>281</v>
      </c>
      <c r="U25" s="242"/>
      <c r="V25" s="46"/>
      <c r="W25" s="165"/>
      <c r="X25" s="71"/>
      <c r="Y25" s="162"/>
      <c r="Z25" s="21">
        <v>14</v>
      </c>
      <c r="AA25" s="137" t="s">
        <v>94</v>
      </c>
    </row>
    <row r="26" spans="1:27" ht="35.1" customHeight="1" thickTop="1" thickBot="1">
      <c r="A26" s="20">
        <v>15</v>
      </c>
      <c r="B26" s="137" t="s">
        <v>95</v>
      </c>
      <c r="C26" s="143" t="s">
        <v>239</v>
      </c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56"/>
      <c r="Z26" s="20">
        <v>15</v>
      </c>
      <c r="AA26" s="137" t="s">
        <v>95</v>
      </c>
    </row>
    <row r="27" spans="1:27" ht="35.1" customHeight="1" thickTop="1" thickBot="1">
      <c r="A27" s="20">
        <v>16</v>
      </c>
      <c r="B27" s="17" t="s">
        <v>82</v>
      </c>
      <c r="C27" s="63"/>
      <c r="D27" s="46"/>
      <c r="E27" s="46"/>
      <c r="F27" s="133"/>
      <c r="G27" s="320" t="s">
        <v>154</v>
      </c>
      <c r="H27" s="180"/>
      <c r="I27" s="166"/>
      <c r="J27" s="71"/>
      <c r="K27" s="177"/>
      <c r="L27" s="312" t="s">
        <v>181</v>
      </c>
      <c r="N27" s="304" t="s">
        <v>48</v>
      </c>
      <c r="O27" s="261" t="s">
        <v>162</v>
      </c>
      <c r="P27" s="166"/>
      <c r="Q27" s="71"/>
      <c r="R27" s="262" t="s">
        <v>146</v>
      </c>
      <c r="S27" s="97" t="s">
        <v>161</v>
      </c>
      <c r="U27" s="304" t="s">
        <v>186</v>
      </c>
      <c r="V27" s="248" t="s">
        <v>156</v>
      </c>
      <c r="W27" s="71"/>
      <c r="X27" s="71"/>
      <c r="Y27" s="263" t="s">
        <v>218</v>
      </c>
      <c r="Z27" s="20">
        <v>16</v>
      </c>
      <c r="AA27" s="17" t="s">
        <v>82</v>
      </c>
    </row>
    <row r="28" spans="1:27" ht="35.1" customHeight="1" thickTop="1" thickBot="1">
      <c r="A28" s="20">
        <v>17</v>
      </c>
      <c r="B28" s="17" t="s">
        <v>84</v>
      </c>
      <c r="C28" s="55"/>
      <c r="D28" s="46"/>
      <c r="E28" s="46"/>
      <c r="F28" s="292" t="s">
        <v>149</v>
      </c>
      <c r="G28" s="131" t="s">
        <v>163</v>
      </c>
      <c r="H28" s="180"/>
      <c r="I28" s="166"/>
      <c r="J28" s="71"/>
      <c r="K28" s="176"/>
      <c r="L28" s="271" t="s">
        <v>222</v>
      </c>
      <c r="M28" s="283" t="s">
        <v>180</v>
      </c>
      <c r="N28" s="313" t="s">
        <v>223</v>
      </c>
      <c r="O28" s="219"/>
      <c r="P28" s="71"/>
      <c r="Q28" s="71"/>
      <c r="R28" s="176"/>
      <c r="S28" s="251" t="s">
        <v>166</v>
      </c>
      <c r="T28" s="251" t="s">
        <v>232</v>
      </c>
      <c r="U28" s="306" t="s">
        <v>225</v>
      </c>
      <c r="W28" s="71"/>
      <c r="X28" s="71"/>
      <c r="Y28" s="164"/>
      <c r="Z28" s="20">
        <v>17</v>
      </c>
      <c r="AA28" s="17" t="s">
        <v>84</v>
      </c>
    </row>
    <row r="29" spans="1:27" ht="35.1" customHeight="1" thickTop="1" thickBot="1">
      <c r="A29" s="22">
        <v>18</v>
      </c>
      <c r="B29" s="17" t="s">
        <v>87</v>
      </c>
      <c r="C29" s="63"/>
      <c r="D29" s="46"/>
      <c r="E29" s="46"/>
      <c r="F29" s="314" t="s">
        <v>164</v>
      </c>
      <c r="G29" s="319" t="s">
        <v>201</v>
      </c>
      <c r="H29" s="179"/>
      <c r="I29" s="166"/>
      <c r="J29" s="71"/>
      <c r="K29" s="176"/>
      <c r="L29" s="251" t="s">
        <v>166</v>
      </c>
      <c r="M29" s="310" t="s">
        <v>202</v>
      </c>
      <c r="N29" s="219"/>
      <c r="O29" s="261" t="s">
        <v>73</v>
      </c>
      <c r="P29" s="166"/>
      <c r="Q29" s="71"/>
      <c r="R29" s="176"/>
      <c r="S29" s="303" t="s">
        <v>279</v>
      </c>
      <c r="T29" s="272" t="s">
        <v>215</v>
      </c>
      <c r="V29" s="248" t="s">
        <v>160</v>
      </c>
      <c r="W29" s="71"/>
      <c r="X29" s="252" t="s">
        <v>148</v>
      </c>
      <c r="Y29" s="164"/>
      <c r="Z29" s="22">
        <v>18</v>
      </c>
      <c r="AA29" s="17" t="s">
        <v>87</v>
      </c>
    </row>
    <row r="30" spans="1:27" ht="35.1" customHeight="1" thickTop="1" thickBot="1">
      <c r="A30" s="20">
        <v>19</v>
      </c>
      <c r="B30" s="17" t="s">
        <v>88</v>
      </c>
      <c r="C30" s="63"/>
      <c r="D30" s="46"/>
      <c r="E30" s="46"/>
      <c r="F30" s="315" t="s">
        <v>221</v>
      </c>
      <c r="G30" s="297" t="s">
        <v>214</v>
      </c>
      <c r="H30" s="301" t="s">
        <v>204</v>
      </c>
      <c r="I30" s="166"/>
      <c r="J30" s="71"/>
      <c r="K30" s="176"/>
      <c r="L30" s="253" t="s">
        <v>167</v>
      </c>
      <c r="M30" s="311" t="s">
        <v>158</v>
      </c>
      <c r="N30" s="283" t="s">
        <v>185</v>
      </c>
      <c r="O30" s="302" t="s">
        <v>277</v>
      </c>
      <c r="P30" s="166"/>
      <c r="Q30" s="254" t="s">
        <v>224</v>
      </c>
      <c r="R30" s="176"/>
      <c r="S30" s="255" t="s">
        <v>168</v>
      </c>
      <c r="T30" s="271" t="s">
        <v>165</v>
      </c>
      <c r="U30" s="253" t="s">
        <v>145</v>
      </c>
      <c r="W30" s="71"/>
      <c r="X30" s="71"/>
      <c r="Y30" s="164"/>
      <c r="Z30" s="20">
        <v>19</v>
      </c>
      <c r="AA30" s="17" t="s">
        <v>88</v>
      </c>
    </row>
    <row r="31" spans="1:27" ht="35.1" customHeight="1" thickTop="1" thickBot="1">
      <c r="A31" s="20">
        <v>20</v>
      </c>
      <c r="B31" s="145" t="s">
        <v>90</v>
      </c>
      <c r="C31" s="281" t="s">
        <v>158</v>
      </c>
      <c r="D31" s="257" t="s">
        <v>168</v>
      </c>
      <c r="E31" s="46"/>
      <c r="F31" s="316" t="s">
        <v>182</v>
      </c>
      <c r="G31" s="317" t="s">
        <v>211</v>
      </c>
      <c r="H31" s="299" t="s">
        <v>89</v>
      </c>
      <c r="I31" s="166"/>
      <c r="J31" s="71"/>
      <c r="K31" s="176"/>
      <c r="L31" s="274" t="s">
        <v>205</v>
      </c>
      <c r="M31" s="275" t="s">
        <v>212</v>
      </c>
      <c r="N31" s="281" t="s">
        <v>153</v>
      </c>
      <c r="O31" s="261" t="s">
        <v>159</v>
      </c>
      <c r="P31" s="166"/>
      <c r="Q31" s="165"/>
      <c r="R31" s="231"/>
      <c r="S31" s="257" t="s">
        <v>176</v>
      </c>
      <c r="T31" s="259" t="s">
        <v>219</v>
      </c>
      <c r="U31" s="243"/>
      <c r="V31" s="166"/>
      <c r="W31" s="71"/>
      <c r="X31" s="71"/>
      <c r="Y31" s="164"/>
      <c r="Z31" s="20">
        <v>20</v>
      </c>
      <c r="AA31" s="145" t="s">
        <v>90</v>
      </c>
    </row>
    <row r="32" spans="1:27" ht="35.1" customHeight="1" thickTop="1">
      <c r="A32" s="21">
        <v>21</v>
      </c>
      <c r="B32" s="137" t="s">
        <v>94</v>
      </c>
      <c r="C32" s="62" t="s">
        <v>238</v>
      </c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56"/>
      <c r="Z32" s="21">
        <v>21</v>
      </c>
      <c r="AA32" s="137" t="s">
        <v>94</v>
      </c>
    </row>
    <row r="33" spans="1:27" ht="35.1" customHeight="1" thickBot="1">
      <c r="A33" s="20">
        <v>22</v>
      </c>
      <c r="B33" s="137" t="s">
        <v>95</v>
      </c>
      <c r="C33" s="63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56"/>
      <c r="Z33" s="20">
        <v>22</v>
      </c>
      <c r="AA33" s="137" t="s">
        <v>95</v>
      </c>
    </row>
    <row r="34" spans="1:27" ht="35.1" customHeight="1" thickTop="1" thickBot="1">
      <c r="A34" s="20">
        <v>23</v>
      </c>
      <c r="B34" s="17" t="s">
        <v>82</v>
      </c>
      <c r="C34" s="55"/>
      <c r="D34" s="46"/>
      <c r="E34" s="46"/>
      <c r="F34" s="133"/>
      <c r="G34" s="320" t="s">
        <v>154</v>
      </c>
      <c r="H34" s="180"/>
      <c r="I34" s="166"/>
      <c r="J34" s="71"/>
      <c r="K34" s="123" t="s">
        <v>175</v>
      </c>
      <c r="L34" s="312" t="s">
        <v>181</v>
      </c>
      <c r="M34" s="271" t="s">
        <v>48</v>
      </c>
      <c r="O34" s="248" t="s">
        <v>162</v>
      </c>
      <c r="P34" s="71"/>
      <c r="Q34" s="71"/>
      <c r="R34" s="262" t="s">
        <v>146</v>
      </c>
      <c r="S34" s="305" t="s">
        <v>161</v>
      </c>
      <c r="U34" s="71"/>
      <c r="V34" s="248" t="s">
        <v>156</v>
      </c>
      <c r="W34" s="71"/>
      <c r="X34" s="71"/>
      <c r="Y34" s="263" t="s">
        <v>218</v>
      </c>
      <c r="Z34" s="20">
        <v>23</v>
      </c>
      <c r="AA34" s="17" t="s">
        <v>82</v>
      </c>
    </row>
    <row r="35" spans="1:27" ht="35.1" customHeight="1" thickTop="1" thickBot="1">
      <c r="A35" s="20">
        <v>24</v>
      </c>
      <c r="B35" s="17" t="s">
        <v>84</v>
      </c>
      <c r="C35" s="146"/>
      <c r="D35" s="46"/>
      <c r="E35" s="46"/>
      <c r="F35" s="292" t="s">
        <v>149</v>
      </c>
      <c r="G35" s="131" t="s">
        <v>163</v>
      </c>
      <c r="H35" s="180"/>
      <c r="I35" s="166"/>
      <c r="J35" s="71"/>
      <c r="K35" s="176"/>
      <c r="L35" s="271" t="s">
        <v>222</v>
      </c>
      <c r="M35" s="272" t="s">
        <v>215</v>
      </c>
      <c r="N35" s="303" t="s">
        <v>278</v>
      </c>
      <c r="P35" s="71"/>
      <c r="Q35" s="71"/>
      <c r="R35" s="176"/>
      <c r="S35" s="251" t="s">
        <v>166</v>
      </c>
      <c r="T35" s="272" t="s">
        <v>225</v>
      </c>
      <c r="U35" s="71"/>
      <c r="W35" s="71"/>
      <c r="X35" s="71"/>
      <c r="Y35" s="164"/>
      <c r="Z35" s="20">
        <v>24</v>
      </c>
      <c r="AA35" s="17" t="s">
        <v>84</v>
      </c>
    </row>
    <row r="36" spans="1:27" ht="35.1" customHeight="1" thickTop="1" thickBot="1">
      <c r="A36" s="22">
        <v>25</v>
      </c>
      <c r="B36" s="17" t="s">
        <v>87</v>
      </c>
      <c r="C36" s="63"/>
      <c r="D36" s="46"/>
      <c r="E36" s="46"/>
      <c r="F36" s="314" t="s">
        <v>164</v>
      </c>
      <c r="G36" s="319" t="s">
        <v>201</v>
      </c>
      <c r="H36" s="179"/>
      <c r="I36" s="166"/>
      <c r="J36" s="71"/>
      <c r="K36" s="176"/>
      <c r="L36" s="310" t="s">
        <v>202</v>
      </c>
      <c r="M36" s="271" t="s">
        <v>161</v>
      </c>
      <c r="O36" s="248" t="s">
        <v>73</v>
      </c>
      <c r="P36" s="71"/>
      <c r="Q36" s="71"/>
      <c r="R36" s="176"/>
      <c r="S36" s="272" t="s">
        <v>215</v>
      </c>
      <c r="U36" s="71"/>
      <c r="V36" s="248" t="s">
        <v>160</v>
      </c>
      <c r="W36" s="71"/>
      <c r="X36" s="252" t="s">
        <v>148</v>
      </c>
      <c r="Y36" s="164"/>
      <c r="Z36" s="22">
        <v>25</v>
      </c>
      <c r="AA36" s="17" t="s">
        <v>87</v>
      </c>
    </row>
    <row r="37" spans="1:27" ht="35.1" customHeight="1" thickTop="1" thickBot="1">
      <c r="A37" s="20">
        <v>26</v>
      </c>
      <c r="B37" s="17" t="s">
        <v>88</v>
      </c>
      <c r="C37" s="281" t="s">
        <v>158</v>
      </c>
      <c r="D37" s="390" t="s">
        <v>292</v>
      </c>
      <c r="E37" s="391"/>
      <c r="F37" s="315" t="s">
        <v>221</v>
      </c>
      <c r="G37" s="297" t="s">
        <v>214</v>
      </c>
      <c r="H37" s="301" t="s">
        <v>204</v>
      </c>
      <c r="I37" s="166"/>
      <c r="J37" s="246"/>
      <c r="K37" s="176"/>
      <c r="L37" s="253" t="s">
        <v>167</v>
      </c>
      <c r="M37" s="274" t="s">
        <v>212</v>
      </c>
      <c r="N37" s="283" t="s">
        <v>185</v>
      </c>
      <c r="O37" s="219"/>
      <c r="P37" s="71"/>
      <c r="Q37" s="71"/>
      <c r="R37" s="176"/>
      <c r="S37" s="255" t="s">
        <v>168</v>
      </c>
      <c r="T37" s="271" t="s">
        <v>165</v>
      </c>
      <c r="U37" s="253" t="s">
        <v>145</v>
      </c>
      <c r="V37" s="302" t="s">
        <v>282</v>
      </c>
      <c r="X37" s="71"/>
      <c r="Y37" s="164"/>
      <c r="Z37" s="20">
        <v>26</v>
      </c>
      <c r="AA37" s="17" t="s">
        <v>88</v>
      </c>
    </row>
    <row r="38" spans="1:27" ht="35.1" customHeight="1" thickTop="1" thickBot="1">
      <c r="A38" s="160">
        <v>27</v>
      </c>
      <c r="B38" s="213" t="s">
        <v>90</v>
      </c>
      <c r="C38" s="280" t="s">
        <v>165</v>
      </c>
      <c r="D38" s="202"/>
      <c r="E38" s="330"/>
      <c r="F38" s="316" t="s">
        <v>182</v>
      </c>
      <c r="G38" s="102" t="s">
        <v>211</v>
      </c>
      <c r="H38" s="299" t="s">
        <v>89</v>
      </c>
      <c r="I38" s="338" t="s">
        <v>170</v>
      </c>
      <c r="J38" s="200"/>
      <c r="K38" s="198"/>
      <c r="L38" s="274" t="s">
        <v>205</v>
      </c>
      <c r="M38" s="275" t="s">
        <v>212</v>
      </c>
      <c r="N38" s="281" t="s">
        <v>153</v>
      </c>
      <c r="O38" s="339" t="s">
        <v>159</v>
      </c>
      <c r="P38" s="200"/>
      <c r="Q38" s="200"/>
      <c r="R38" s="332"/>
      <c r="S38" s="257" t="s">
        <v>176</v>
      </c>
      <c r="T38" s="259" t="s">
        <v>219</v>
      </c>
      <c r="U38" s="255" t="s">
        <v>168</v>
      </c>
      <c r="W38" s="200"/>
      <c r="X38" s="200"/>
      <c r="Y38" s="203"/>
      <c r="Z38" s="160">
        <v>27</v>
      </c>
      <c r="AA38" s="213" t="s">
        <v>90</v>
      </c>
    </row>
    <row r="39" spans="1:27" ht="35.1" customHeight="1" thickTop="1" thickBot="1">
      <c r="A39" s="349">
        <v>28</v>
      </c>
      <c r="B39" s="351" t="s">
        <v>94</v>
      </c>
      <c r="C39" s="142" t="s">
        <v>301</v>
      </c>
      <c r="D39" s="197"/>
      <c r="E39" s="197"/>
      <c r="F39" s="46"/>
      <c r="G39" s="46"/>
      <c r="H39" s="46"/>
      <c r="I39" s="197"/>
      <c r="J39" s="197"/>
      <c r="K39" s="197"/>
      <c r="L39" s="46"/>
      <c r="M39" s="46"/>
      <c r="N39" s="46"/>
      <c r="O39" s="197"/>
      <c r="P39" s="197"/>
      <c r="Q39" s="197"/>
      <c r="R39" s="197"/>
      <c r="S39" s="46"/>
      <c r="T39" s="46"/>
      <c r="U39" s="46"/>
      <c r="V39" s="197"/>
      <c r="W39" s="197"/>
      <c r="X39" s="197"/>
      <c r="Y39" s="204"/>
      <c r="Z39" s="349">
        <v>28</v>
      </c>
      <c r="AA39" s="351" t="s">
        <v>94</v>
      </c>
    </row>
    <row r="40" spans="1:27" ht="35.1" customHeight="1" thickTop="1" thickBot="1">
      <c r="A40" s="350"/>
      <c r="B40" s="352"/>
      <c r="C40" s="333"/>
      <c r="D40" s="259" t="s">
        <v>219</v>
      </c>
      <c r="E40" s="330"/>
      <c r="F40" s="333"/>
      <c r="G40" s="195"/>
      <c r="H40" s="195"/>
      <c r="I40" s="195"/>
      <c r="J40" s="195"/>
      <c r="K40" s="335"/>
      <c r="L40" s="333"/>
      <c r="M40" s="195"/>
      <c r="N40" s="195"/>
      <c r="O40" s="219"/>
      <c r="P40" s="195"/>
      <c r="Q40" s="195"/>
      <c r="R40" s="335"/>
      <c r="S40" s="330"/>
      <c r="T40" s="259" t="s">
        <v>176</v>
      </c>
      <c r="U40" s="202"/>
      <c r="V40" s="195"/>
      <c r="W40" s="195"/>
      <c r="X40" s="200"/>
      <c r="Y40" s="336"/>
      <c r="Z40" s="350"/>
      <c r="AA40" s="352"/>
    </row>
    <row r="41" spans="1:27" ht="35.1" customHeight="1" thickTop="1" thickBot="1">
      <c r="A41" s="193">
        <v>29</v>
      </c>
      <c r="B41" s="161" t="s">
        <v>95</v>
      </c>
      <c r="C41" s="334"/>
      <c r="D41" s="46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46"/>
      <c r="U41" s="197"/>
      <c r="V41" s="197"/>
      <c r="W41" s="197"/>
      <c r="X41" s="197"/>
      <c r="Y41" s="204"/>
      <c r="Z41" s="337">
        <v>29</v>
      </c>
      <c r="AA41" s="161" t="s">
        <v>95</v>
      </c>
    </row>
    <row r="42" spans="1:27" ht="35.1" customHeight="1" thickTop="1" thickBot="1">
      <c r="A42" s="22">
        <v>30</v>
      </c>
      <c r="B42" s="17" t="s">
        <v>82</v>
      </c>
      <c r="C42" s="63" t="s">
        <v>256</v>
      </c>
      <c r="D42" s="46"/>
      <c r="E42" s="46"/>
      <c r="F42" s="233"/>
      <c r="G42" s="200"/>
      <c r="H42" s="200"/>
      <c r="I42" s="296" t="s">
        <v>174</v>
      </c>
      <c r="J42" s="200"/>
      <c r="L42" s="312" t="s">
        <v>181</v>
      </c>
      <c r="M42" s="271" t="s">
        <v>222</v>
      </c>
      <c r="N42" s="219"/>
      <c r="O42" s="261" t="s">
        <v>162</v>
      </c>
      <c r="P42" s="71"/>
      <c r="Q42" s="71"/>
      <c r="R42" s="262" t="s">
        <v>146</v>
      </c>
      <c r="S42" s="305" t="s">
        <v>161</v>
      </c>
      <c r="U42" s="71"/>
      <c r="V42" s="261" t="s">
        <v>156</v>
      </c>
      <c r="W42" s="71"/>
      <c r="X42" s="71"/>
      <c r="Y42" s="263" t="s">
        <v>218</v>
      </c>
      <c r="Z42" s="22">
        <v>30</v>
      </c>
      <c r="AA42" s="17" t="s">
        <v>82</v>
      </c>
    </row>
    <row r="43" spans="1:27" ht="35.1" customHeight="1" thickTop="1" thickBot="1">
      <c r="A43" s="22">
        <v>31</v>
      </c>
      <c r="B43" s="92" t="s">
        <v>84</v>
      </c>
      <c r="C43" s="63" t="s">
        <v>257</v>
      </c>
      <c r="D43" s="46"/>
      <c r="E43" s="46"/>
      <c r="F43" s="235"/>
      <c r="G43" s="214"/>
      <c r="H43" s="214"/>
      <c r="I43" s="234"/>
      <c r="J43" s="214"/>
      <c r="K43" s="300" t="s">
        <v>169</v>
      </c>
      <c r="L43" s="271" t="s">
        <v>222</v>
      </c>
      <c r="M43" s="310" t="s">
        <v>223</v>
      </c>
      <c r="N43" s="207"/>
      <c r="O43" s="284" t="s">
        <v>180</v>
      </c>
      <c r="P43" s="214"/>
      <c r="Q43" s="214"/>
      <c r="R43" s="217"/>
      <c r="S43" s="251" t="s">
        <v>166</v>
      </c>
      <c r="T43" s="264" t="s">
        <v>231</v>
      </c>
      <c r="U43" s="71"/>
      <c r="V43" s="214"/>
      <c r="W43" s="214"/>
      <c r="X43" s="214"/>
      <c r="Y43" s="232"/>
      <c r="Z43" s="22">
        <v>31</v>
      </c>
      <c r="AA43" s="92" t="s">
        <v>84</v>
      </c>
    </row>
    <row r="44" spans="1:27" ht="30" customHeight="1" thickTop="1">
      <c r="A44" s="360" t="s">
        <v>5</v>
      </c>
      <c r="B44" s="361"/>
      <c r="C44" s="85" t="s">
        <v>6</v>
      </c>
      <c r="D44" s="85" t="s">
        <v>7</v>
      </c>
      <c r="E44" s="86" t="s">
        <v>8</v>
      </c>
      <c r="F44" s="87" t="s">
        <v>6</v>
      </c>
      <c r="G44" s="88" t="s">
        <v>7</v>
      </c>
      <c r="H44" s="85" t="s">
        <v>8</v>
      </c>
      <c r="I44" s="89" t="s">
        <v>9</v>
      </c>
      <c r="J44" s="89" t="s">
        <v>96</v>
      </c>
      <c r="K44" s="89" t="s">
        <v>173</v>
      </c>
      <c r="L44" s="87" t="s">
        <v>6</v>
      </c>
      <c r="M44" s="85" t="s">
        <v>7</v>
      </c>
      <c r="N44" s="85" t="s">
        <v>8</v>
      </c>
      <c r="O44" s="89" t="s">
        <v>9</v>
      </c>
      <c r="P44" s="85" t="s">
        <v>96</v>
      </c>
      <c r="Q44" s="89" t="s">
        <v>173</v>
      </c>
      <c r="R44" s="89" t="s">
        <v>177</v>
      </c>
      <c r="S44" s="87" t="s">
        <v>6</v>
      </c>
      <c r="T44" s="89" t="s">
        <v>7</v>
      </c>
      <c r="U44" s="85" t="s">
        <v>8</v>
      </c>
      <c r="V44" s="88" t="s">
        <v>9</v>
      </c>
      <c r="W44" s="85" t="s">
        <v>96</v>
      </c>
      <c r="X44" s="85" t="s">
        <v>173</v>
      </c>
      <c r="Y44" s="85" t="s">
        <v>177</v>
      </c>
      <c r="Z44" s="360" t="s">
        <v>216</v>
      </c>
      <c r="AA44" s="361"/>
    </row>
    <row r="45" spans="1:27" ht="24.95" customHeight="1">
      <c r="A45" s="358" t="s">
        <v>2</v>
      </c>
      <c r="B45" s="359"/>
      <c r="C45" s="362" t="s">
        <v>199</v>
      </c>
      <c r="D45" s="363"/>
      <c r="E45" s="364"/>
      <c r="F45" s="372" t="s">
        <v>3</v>
      </c>
      <c r="G45" s="373"/>
      <c r="H45" s="373"/>
      <c r="I45" s="373"/>
      <c r="J45" s="373"/>
      <c r="K45" s="374"/>
      <c r="L45" s="384" t="s">
        <v>194</v>
      </c>
      <c r="M45" s="385"/>
      <c r="N45" s="385"/>
      <c r="O45" s="385"/>
      <c r="P45" s="385"/>
      <c r="Q45" s="385"/>
      <c r="R45" s="386"/>
      <c r="S45" s="378" t="s">
        <v>198</v>
      </c>
      <c r="T45" s="379"/>
      <c r="U45" s="379"/>
      <c r="V45" s="379"/>
      <c r="W45" s="379"/>
      <c r="X45" s="379"/>
      <c r="Y45" s="380"/>
      <c r="Z45" s="358" t="s">
        <v>2</v>
      </c>
      <c r="AA45" s="359"/>
    </row>
    <row r="46" spans="1:27" s="10" customFormat="1" ht="24.95" customHeight="1">
      <c r="A46" s="353" t="s">
        <v>4</v>
      </c>
      <c r="B46" s="354"/>
      <c r="C46" s="365"/>
      <c r="D46" s="366"/>
      <c r="E46" s="367"/>
      <c r="F46" s="375" t="s">
        <v>197</v>
      </c>
      <c r="G46" s="376"/>
      <c r="H46" s="376"/>
      <c r="I46" s="376"/>
      <c r="J46" s="376"/>
      <c r="K46" s="377"/>
      <c r="L46" s="387"/>
      <c r="M46" s="388"/>
      <c r="N46" s="388"/>
      <c r="O46" s="388"/>
      <c r="P46" s="388"/>
      <c r="Q46" s="388"/>
      <c r="R46" s="389"/>
      <c r="S46" s="381"/>
      <c r="T46" s="382"/>
      <c r="U46" s="382"/>
      <c r="V46" s="382"/>
      <c r="W46" s="382"/>
      <c r="X46" s="382"/>
      <c r="Y46" s="383"/>
      <c r="Z46" s="353" t="s">
        <v>4</v>
      </c>
      <c r="AA46" s="354"/>
    </row>
    <row r="47" spans="1:27" ht="21.95" customHeight="1">
      <c r="A47" s="138" t="s">
        <v>243</v>
      </c>
      <c r="B47" s="23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"/>
      <c r="AA47" s="3"/>
    </row>
    <row r="48" spans="1:27" ht="21.95" customHeight="1">
      <c r="A48" s="139" t="s">
        <v>244</v>
      </c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AA48" s="6"/>
    </row>
    <row r="49" spans="1:27" ht="21.95" customHeight="1">
      <c r="A49" s="140" t="s">
        <v>236</v>
      </c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AA49" s="6"/>
    </row>
    <row r="50" spans="1:27" ht="21.95" customHeight="1">
      <c r="A50" s="141" t="s">
        <v>237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AA50" s="6"/>
    </row>
    <row r="51" spans="1:27" ht="21.95" customHeight="1">
      <c r="A51" s="138" t="s">
        <v>286</v>
      </c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AA51" s="6"/>
    </row>
    <row r="52" spans="1:27" ht="21.95" customHeight="1">
      <c r="A52" s="355" t="s">
        <v>187</v>
      </c>
      <c r="B52" s="356"/>
      <c r="C52" s="356"/>
      <c r="D52" s="356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56"/>
      <c r="Y52" s="356"/>
      <c r="Z52" s="356"/>
      <c r="AA52" s="357"/>
    </row>
    <row r="53" spans="1:27" ht="21.95" customHeight="1">
      <c r="A53" s="112" t="s">
        <v>188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AA53" s="6"/>
    </row>
    <row r="54" spans="1:27" ht="21.95" customHeight="1">
      <c r="A54" s="112" t="s">
        <v>189</v>
      </c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AA54" s="6"/>
    </row>
    <row r="55" spans="1:27" ht="9.9499999999999993" customHeight="1" thickBot="1">
      <c r="A55" s="11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AA55" s="6"/>
    </row>
    <row r="56" spans="1:27" ht="30" customHeight="1" thickBot="1">
      <c r="A56" s="112"/>
      <c r="B56" s="24"/>
      <c r="C56" s="24"/>
      <c r="D56" s="346" t="s">
        <v>240</v>
      </c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8"/>
      <c r="W56" s="24"/>
      <c r="X56" s="24"/>
      <c r="Y56" s="24"/>
      <c r="AA56" s="6"/>
    </row>
    <row r="57" spans="1:27" ht="9.9499999999999993" customHeight="1">
      <c r="A57" s="25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47"/>
      <c r="AA57" s="48"/>
    </row>
    <row r="58" spans="1:27" ht="9.9499999999999993" customHeight="1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</row>
    <row r="59" spans="1:27" ht="35.1" customHeight="1">
      <c r="B59" s="43"/>
      <c r="C59" s="43"/>
      <c r="D59" s="43"/>
      <c r="E59" s="43"/>
      <c r="F59" s="43"/>
      <c r="G59" s="43"/>
      <c r="H59" s="43"/>
      <c r="I59" s="43"/>
      <c r="J59" s="43"/>
      <c r="L59" s="118" t="s">
        <v>97</v>
      </c>
      <c r="M59" s="119" t="s">
        <v>98</v>
      </c>
      <c r="N59" s="120" t="s">
        <v>99</v>
      </c>
      <c r="O59" s="121" t="s">
        <v>100</v>
      </c>
      <c r="P59" s="287" t="s">
        <v>101</v>
      </c>
      <c r="Q59" s="122" t="s">
        <v>102</v>
      </c>
      <c r="U59" s="43"/>
      <c r="V59" s="14"/>
      <c r="W59" s="14"/>
    </row>
    <row r="60" spans="1:27" ht="9.9499999999999993" customHeight="1"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14"/>
      <c r="Y60" s="14"/>
    </row>
    <row r="61" spans="1:27" ht="9.9499999999999993" customHeight="1"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14"/>
      <c r="Y61" s="14"/>
    </row>
  </sheetData>
  <mergeCells count="35">
    <mergeCell ref="Z44:AA44"/>
    <mergeCell ref="Z45:AA45"/>
    <mergeCell ref="Z46:AA46"/>
    <mergeCell ref="A52:AA52"/>
    <mergeCell ref="D56:V56"/>
    <mergeCell ref="A46:B46"/>
    <mergeCell ref="Z9:AA9"/>
    <mergeCell ref="Z10:AA10"/>
    <mergeCell ref="Z11:AA11"/>
    <mergeCell ref="Z39:Z40"/>
    <mergeCell ref="AA39:AA40"/>
    <mergeCell ref="M8:N8"/>
    <mergeCell ref="L45:R46"/>
    <mergeCell ref="S45:Y46"/>
    <mergeCell ref="L9:R9"/>
    <mergeCell ref="S9:Y9"/>
    <mergeCell ref="L10:R10"/>
    <mergeCell ref="S10:Y10"/>
    <mergeCell ref="A10:B10"/>
    <mergeCell ref="C9:E10"/>
    <mergeCell ref="F9:K9"/>
    <mergeCell ref="F10:K10"/>
    <mergeCell ref="A9:B9"/>
    <mergeCell ref="A11:B11"/>
    <mergeCell ref="A44:B44"/>
    <mergeCell ref="A45:B45"/>
    <mergeCell ref="C45:E46"/>
    <mergeCell ref="F45:K45"/>
    <mergeCell ref="D37:E37"/>
    <mergeCell ref="A39:A40"/>
    <mergeCell ref="B39:B40"/>
    <mergeCell ref="C12:Y12"/>
    <mergeCell ref="C13:D13"/>
    <mergeCell ref="E13:F13"/>
    <mergeCell ref="F46:K46"/>
  </mergeCells>
  <phoneticPr fontId="2"/>
  <conditionalFormatting sqref="C12:Y12">
    <cfRule type="containsText" dxfId="65" priority="61" stopIfTrue="1" operator="containsText" text="４">
      <formula>NOT(ISERROR(SEARCH("４",C12)))</formula>
    </cfRule>
    <cfRule type="beginsWith" dxfId="64" priority="62" stopIfTrue="1" operator="beginsWith" text="６">
      <formula>LEFT(C12,LEN("６"))="６"</formula>
    </cfRule>
    <cfRule type="beginsWith" dxfId="63" priority="63" stopIfTrue="1" operator="beginsWith" text="５">
      <formula>LEFT(C12,LEN("５"))="５"</formula>
    </cfRule>
    <cfRule type="beginsWith" dxfId="62" priority="64" stopIfTrue="1" operator="beginsWith" text="３">
      <formula>LEFT(C12,LEN("３"))="３"</formula>
    </cfRule>
    <cfRule type="beginsWith" dxfId="61" priority="65" stopIfTrue="1" operator="beginsWith" text="２">
      <formula>LEFT(C12,LEN("２"))="２"</formula>
    </cfRule>
    <cfRule type="beginsWith" dxfId="60" priority="66" stopIfTrue="1" operator="beginsWith" text="１">
      <formula>LEFT(C12,LEN("１"))="１"</formula>
    </cfRule>
  </conditionalFormatting>
  <conditionalFormatting sqref="C13:D13">
    <cfRule type="containsText" dxfId="59" priority="55" stopIfTrue="1" operator="containsText" text="４">
      <formula>NOT(ISERROR(SEARCH("４",C13)))</formula>
    </cfRule>
    <cfRule type="beginsWith" dxfId="58" priority="56" stopIfTrue="1" operator="beginsWith" text="６">
      <formula>LEFT(C13,LEN("６"))="６"</formula>
    </cfRule>
    <cfRule type="beginsWith" dxfId="57" priority="57" stopIfTrue="1" operator="beginsWith" text="５">
      <formula>LEFT(C13,LEN("５"))="５"</formula>
    </cfRule>
    <cfRule type="beginsWith" dxfId="56" priority="58" stopIfTrue="1" operator="beginsWith" text="３">
      <formula>LEFT(C13,LEN("３"))="３"</formula>
    </cfRule>
    <cfRule type="beginsWith" dxfId="55" priority="59" stopIfTrue="1" operator="beginsWith" text="２">
      <formula>LEFT(C13,LEN("２"))="２"</formula>
    </cfRule>
    <cfRule type="beginsWith" dxfId="54" priority="60" stopIfTrue="1" operator="beginsWith" text="１">
      <formula>LEFT(C13,LEN("１"))="１"</formula>
    </cfRule>
  </conditionalFormatting>
  <conditionalFormatting sqref="C39">
    <cfRule type="containsText" dxfId="53" priority="49" stopIfTrue="1" operator="containsText" text="４">
      <formula>NOT(ISERROR(SEARCH("４",C39)))</formula>
    </cfRule>
    <cfRule type="beginsWith" dxfId="52" priority="50" stopIfTrue="1" operator="beginsWith" text="６">
      <formula>LEFT(C39,LEN("６"))="６"</formula>
    </cfRule>
    <cfRule type="beginsWith" dxfId="51" priority="51" stopIfTrue="1" operator="beginsWith" text="５">
      <formula>LEFT(C39,LEN("５"))="５"</formula>
    </cfRule>
    <cfRule type="beginsWith" dxfId="50" priority="52" stopIfTrue="1" operator="beginsWith" text="３">
      <formula>LEFT(C39,LEN("３"))="３"</formula>
    </cfRule>
    <cfRule type="beginsWith" dxfId="49" priority="53" stopIfTrue="1" operator="beginsWith" text="２">
      <formula>LEFT(C39,LEN("２"))="２"</formula>
    </cfRule>
    <cfRule type="beginsWith" dxfId="48" priority="54" stopIfTrue="1" operator="beginsWith" text="１">
      <formula>LEFT(C39,LEN("１"))="１"</formula>
    </cfRule>
  </conditionalFormatting>
  <conditionalFormatting sqref="C32">
    <cfRule type="containsText" dxfId="47" priority="43" stopIfTrue="1" operator="containsText" text="４">
      <formula>NOT(ISERROR(SEARCH("４",C32)))</formula>
    </cfRule>
    <cfRule type="beginsWith" dxfId="46" priority="44" stopIfTrue="1" operator="beginsWith" text="６">
      <formula>LEFT(C32,LEN("６"))="６"</formula>
    </cfRule>
    <cfRule type="beginsWith" dxfId="45" priority="45" stopIfTrue="1" operator="beginsWith" text="５">
      <formula>LEFT(C32,LEN("５"))="５"</formula>
    </cfRule>
    <cfRule type="beginsWith" dxfId="44" priority="46" stopIfTrue="1" operator="beginsWith" text="３">
      <formula>LEFT(C32,LEN("３"))="３"</formula>
    </cfRule>
    <cfRule type="beginsWith" dxfId="43" priority="47" stopIfTrue="1" operator="beginsWith" text="２">
      <formula>LEFT(C32,LEN("２"))="２"</formula>
    </cfRule>
    <cfRule type="beginsWith" dxfId="42" priority="48" stopIfTrue="1" operator="beginsWith" text="１">
      <formula>LEFT(C32,LEN("１"))="１"</formula>
    </cfRule>
  </conditionalFormatting>
  <conditionalFormatting sqref="C26">
    <cfRule type="containsText" dxfId="41" priority="37" stopIfTrue="1" operator="containsText" text="４">
      <formula>NOT(ISERROR(SEARCH("４",C26)))</formula>
    </cfRule>
    <cfRule type="beginsWith" dxfId="40" priority="38" stopIfTrue="1" operator="beginsWith" text="６">
      <formula>LEFT(C26,LEN("６"))="６"</formula>
    </cfRule>
    <cfRule type="beginsWith" dxfId="39" priority="39" stopIfTrue="1" operator="beginsWith" text="５">
      <formula>LEFT(C26,LEN("５"))="５"</formula>
    </cfRule>
    <cfRule type="beginsWith" dxfId="38" priority="40" stopIfTrue="1" operator="beginsWith" text="３">
      <formula>LEFT(C26,LEN("３"))="３"</formula>
    </cfRule>
    <cfRule type="beginsWith" dxfId="37" priority="41" stopIfTrue="1" operator="beginsWith" text="２">
      <formula>LEFT(C26,LEN("２"))="２"</formula>
    </cfRule>
    <cfRule type="beginsWith" dxfId="36" priority="42" stopIfTrue="1" operator="beginsWith" text="１">
      <formula>LEFT(C26,LEN("１"))="１"</formula>
    </cfRule>
  </conditionalFormatting>
  <conditionalFormatting sqref="E13:F13">
    <cfRule type="containsText" dxfId="35" priority="31" stopIfTrue="1" operator="containsText" text="４">
      <formula>NOT(ISERROR(SEARCH("４",E13)))</formula>
    </cfRule>
    <cfRule type="beginsWith" dxfId="34" priority="32" stopIfTrue="1" operator="beginsWith" text="６">
      <formula>LEFT(E13,LEN("６"))="６"</formula>
    </cfRule>
    <cfRule type="beginsWith" dxfId="33" priority="33" stopIfTrue="1" operator="beginsWith" text="５">
      <formula>LEFT(E13,LEN("５"))="５"</formula>
    </cfRule>
    <cfRule type="beginsWith" dxfId="32" priority="34" stopIfTrue="1" operator="beginsWith" text="３">
      <formula>LEFT(E13,LEN("３"))="３"</formula>
    </cfRule>
    <cfRule type="beginsWith" dxfId="31" priority="35" stopIfTrue="1" operator="beginsWith" text="２">
      <formula>LEFT(E13,LEN("２"))="２"</formula>
    </cfRule>
    <cfRule type="beginsWith" dxfId="30" priority="36" stopIfTrue="1" operator="beginsWith" text="１">
      <formula>LEFT(E13,LEN("１"))="１"</formula>
    </cfRule>
  </conditionalFormatting>
  <printOptions horizontalCentered="1" verticalCentered="1"/>
  <pageMargins left="0.27559055118110237" right="0.19685039370078741" top="0.23622047244094491" bottom="0.27559055118110237" header="0.51181102362204722" footer="0.51181102362204722"/>
  <pageSetup paperSize="9" scale="50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BCF0-7667-4E71-B640-E0EAAA65CF6B}">
  <sheetPr codeName="Sheet12">
    <pageSetUpPr fitToPage="1"/>
  </sheetPr>
  <dimension ref="A1:AA61"/>
  <sheetViews>
    <sheetView showGridLines="0" topLeftCell="A41" zoomScaleNormal="100" zoomScaleSheetLayoutView="100" workbookViewId="0">
      <selection sqref="A1:AA59"/>
    </sheetView>
  </sheetViews>
  <sheetFormatPr defaultColWidth="8.875" defaultRowHeight="13.5"/>
  <cols>
    <col min="1" max="2" width="6.75" style="4" customWidth="1"/>
    <col min="3" max="25" width="7.75" style="4" customWidth="1"/>
    <col min="26" max="27" width="6.625" style="4" customWidth="1"/>
    <col min="28" max="248" width="8.875" style="4"/>
    <col min="249" max="249" width="4.625" style="4" customWidth="1"/>
    <col min="250" max="250" width="3.625" style="4" customWidth="1"/>
    <col min="251" max="278" width="6.625" style="4" customWidth="1"/>
    <col min="279" max="504" width="8.875" style="4"/>
    <col min="505" max="505" width="4.625" style="4" customWidth="1"/>
    <col min="506" max="506" width="3.625" style="4" customWidth="1"/>
    <col min="507" max="534" width="6.625" style="4" customWidth="1"/>
    <col min="535" max="760" width="8.875" style="4"/>
    <col min="761" max="761" width="4.625" style="4" customWidth="1"/>
    <col min="762" max="762" width="3.625" style="4" customWidth="1"/>
    <col min="763" max="790" width="6.625" style="4" customWidth="1"/>
    <col min="791" max="1016" width="8.875" style="4"/>
    <col min="1017" max="1017" width="4.625" style="4" customWidth="1"/>
    <col min="1018" max="1018" width="3.625" style="4" customWidth="1"/>
    <col min="1019" max="1046" width="6.625" style="4" customWidth="1"/>
    <col min="1047" max="1272" width="8.875" style="4"/>
    <col min="1273" max="1273" width="4.625" style="4" customWidth="1"/>
    <col min="1274" max="1274" width="3.625" style="4" customWidth="1"/>
    <col min="1275" max="1302" width="6.625" style="4" customWidth="1"/>
    <col min="1303" max="1528" width="8.875" style="4"/>
    <col min="1529" max="1529" width="4.625" style="4" customWidth="1"/>
    <col min="1530" max="1530" width="3.625" style="4" customWidth="1"/>
    <col min="1531" max="1558" width="6.625" style="4" customWidth="1"/>
    <col min="1559" max="1784" width="8.875" style="4"/>
    <col min="1785" max="1785" width="4.625" style="4" customWidth="1"/>
    <col min="1786" max="1786" width="3.625" style="4" customWidth="1"/>
    <col min="1787" max="1814" width="6.625" style="4" customWidth="1"/>
    <col min="1815" max="2040" width="8.875" style="4"/>
    <col min="2041" max="2041" width="4.625" style="4" customWidth="1"/>
    <col min="2042" max="2042" width="3.625" style="4" customWidth="1"/>
    <col min="2043" max="2070" width="6.625" style="4" customWidth="1"/>
    <col min="2071" max="2296" width="8.875" style="4"/>
    <col min="2297" max="2297" width="4.625" style="4" customWidth="1"/>
    <col min="2298" max="2298" width="3.625" style="4" customWidth="1"/>
    <col min="2299" max="2326" width="6.625" style="4" customWidth="1"/>
    <col min="2327" max="2552" width="8.875" style="4"/>
    <col min="2553" max="2553" width="4.625" style="4" customWidth="1"/>
    <col min="2554" max="2554" width="3.625" style="4" customWidth="1"/>
    <col min="2555" max="2582" width="6.625" style="4" customWidth="1"/>
    <col min="2583" max="2808" width="8.875" style="4"/>
    <col min="2809" max="2809" width="4.625" style="4" customWidth="1"/>
    <col min="2810" max="2810" width="3.625" style="4" customWidth="1"/>
    <col min="2811" max="2838" width="6.625" style="4" customWidth="1"/>
    <col min="2839" max="3064" width="8.875" style="4"/>
    <col min="3065" max="3065" width="4.625" style="4" customWidth="1"/>
    <col min="3066" max="3066" width="3.625" style="4" customWidth="1"/>
    <col min="3067" max="3094" width="6.625" style="4" customWidth="1"/>
    <col min="3095" max="3320" width="8.875" style="4"/>
    <col min="3321" max="3321" width="4.625" style="4" customWidth="1"/>
    <col min="3322" max="3322" width="3.625" style="4" customWidth="1"/>
    <col min="3323" max="3350" width="6.625" style="4" customWidth="1"/>
    <col min="3351" max="3576" width="8.875" style="4"/>
    <col min="3577" max="3577" width="4.625" style="4" customWidth="1"/>
    <col min="3578" max="3578" width="3.625" style="4" customWidth="1"/>
    <col min="3579" max="3606" width="6.625" style="4" customWidth="1"/>
    <col min="3607" max="3832" width="8.875" style="4"/>
    <col min="3833" max="3833" width="4.625" style="4" customWidth="1"/>
    <col min="3834" max="3834" width="3.625" style="4" customWidth="1"/>
    <col min="3835" max="3862" width="6.625" style="4" customWidth="1"/>
    <col min="3863" max="4088" width="8.875" style="4"/>
    <col min="4089" max="4089" width="4.625" style="4" customWidth="1"/>
    <col min="4090" max="4090" width="3.625" style="4" customWidth="1"/>
    <col min="4091" max="4118" width="6.625" style="4" customWidth="1"/>
    <col min="4119" max="4344" width="8.875" style="4"/>
    <col min="4345" max="4345" width="4.625" style="4" customWidth="1"/>
    <col min="4346" max="4346" width="3.625" style="4" customWidth="1"/>
    <col min="4347" max="4374" width="6.625" style="4" customWidth="1"/>
    <col min="4375" max="4600" width="8.875" style="4"/>
    <col min="4601" max="4601" width="4.625" style="4" customWidth="1"/>
    <col min="4602" max="4602" width="3.625" style="4" customWidth="1"/>
    <col min="4603" max="4630" width="6.625" style="4" customWidth="1"/>
    <col min="4631" max="4856" width="8.875" style="4"/>
    <col min="4857" max="4857" width="4.625" style="4" customWidth="1"/>
    <col min="4858" max="4858" width="3.625" style="4" customWidth="1"/>
    <col min="4859" max="4886" width="6.625" style="4" customWidth="1"/>
    <col min="4887" max="5112" width="8.875" style="4"/>
    <col min="5113" max="5113" width="4.625" style="4" customWidth="1"/>
    <col min="5114" max="5114" width="3.625" style="4" customWidth="1"/>
    <col min="5115" max="5142" width="6.625" style="4" customWidth="1"/>
    <col min="5143" max="5368" width="8.875" style="4"/>
    <col min="5369" max="5369" width="4.625" style="4" customWidth="1"/>
    <col min="5370" max="5370" width="3.625" style="4" customWidth="1"/>
    <col min="5371" max="5398" width="6.625" style="4" customWidth="1"/>
    <col min="5399" max="5624" width="8.875" style="4"/>
    <col min="5625" max="5625" width="4.625" style="4" customWidth="1"/>
    <col min="5626" max="5626" width="3.625" style="4" customWidth="1"/>
    <col min="5627" max="5654" width="6.625" style="4" customWidth="1"/>
    <col min="5655" max="5880" width="8.875" style="4"/>
    <col min="5881" max="5881" width="4.625" style="4" customWidth="1"/>
    <col min="5882" max="5882" width="3.625" style="4" customWidth="1"/>
    <col min="5883" max="5910" width="6.625" style="4" customWidth="1"/>
    <col min="5911" max="6136" width="8.875" style="4"/>
    <col min="6137" max="6137" width="4.625" style="4" customWidth="1"/>
    <col min="6138" max="6138" width="3.625" style="4" customWidth="1"/>
    <col min="6139" max="6166" width="6.625" style="4" customWidth="1"/>
    <col min="6167" max="6392" width="8.875" style="4"/>
    <col min="6393" max="6393" width="4.625" style="4" customWidth="1"/>
    <col min="6394" max="6394" width="3.625" style="4" customWidth="1"/>
    <col min="6395" max="6422" width="6.625" style="4" customWidth="1"/>
    <col min="6423" max="6648" width="8.875" style="4"/>
    <col min="6649" max="6649" width="4.625" style="4" customWidth="1"/>
    <col min="6650" max="6650" width="3.625" style="4" customWidth="1"/>
    <col min="6651" max="6678" width="6.625" style="4" customWidth="1"/>
    <col min="6679" max="6904" width="8.875" style="4"/>
    <col min="6905" max="6905" width="4.625" style="4" customWidth="1"/>
    <col min="6906" max="6906" width="3.625" style="4" customWidth="1"/>
    <col min="6907" max="6934" width="6.625" style="4" customWidth="1"/>
    <col min="6935" max="7160" width="8.875" style="4"/>
    <col min="7161" max="7161" width="4.625" style="4" customWidth="1"/>
    <col min="7162" max="7162" width="3.625" style="4" customWidth="1"/>
    <col min="7163" max="7190" width="6.625" style="4" customWidth="1"/>
    <col min="7191" max="7416" width="8.875" style="4"/>
    <col min="7417" max="7417" width="4.625" style="4" customWidth="1"/>
    <col min="7418" max="7418" width="3.625" style="4" customWidth="1"/>
    <col min="7419" max="7446" width="6.625" style="4" customWidth="1"/>
    <col min="7447" max="7672" width="8.875" style="4"/>
    <col min="7673" max="7673" width="4.625" style="4" customWidth="1"/>
    <col min="7674" max="7674" width="3.625" style="4" customWidth="1"/>
    <col min="7675" max="7702" width="6.625" style="4" customWidth="1"/>
    <col min="7703" max="7928" width="8.875" style="4"/>
    <col min="7929" max="7929" width="4.625" style="4" customWidth="1"/>
    <col min="7930" max="7930" width="3.625" style="4" customWidth="1"/>
    <col min="7931" max="7958" width="6.625" style="4" customWidth="1"/>
    <col min="7959" max="8184" width="8.875" style="4"/>
    <col min="8185" max="8185" width="4.625" style="4" customWidth="1"/>
    <col min="8186" max="8186" width="3.625" style="4" customWidth="1"/>
    <col min="8187" max="8214" width="6.625" style="4" customWidth="1"/>
    <col min="8215" max="8440" width="8.875" style="4"/>
    <col min="8441" max="8441" width="4.625" style="4" customWidth="1"/>
    <col min="8442" max="8442" width="3.625" style="4" customWidth="1"/>
    <col min="8443" max="8470" width="6.625" style="4" customWidth="1"/>
    <col min="8471" max="8696" width="8.875" style="4"/>
    <col min="8697" max="8697" width="4.625" style="4" customWidth="1"/>
    <col min="8698" max="8698" width="3.625" style="4" customWidth="1"/>
    <col min="8699" max="8726" width="6.625" style="4" customWidth="1"/>
    <col min="8727" max="8952" width="8.875" style="4"/>
    <col min="8953" max="8953" width="4.625" style="4" customWidth="1"/>
    <col min="8954" max="8954" width="3.625" style="4" customWidth="1"/>
    <col min="8955" max="8982" width="6.625" style="4" customWidth="1"/>
    <col min="8983" max="9208" width="8.875" style="4"/>
    <col min="9209" max="9209" width="4.625" style="4" customWidth="1"/>
    <col min="9210" max="9210" width="3.625" style="4" customWidth="1"/>
    <col min="9211" max="9238" width="6.625" style="4" customWidth="1"/>
    <col min="9239" max="9464" width="8.875" style="4"/>
    <col min="9465" max="9465" width="4.625" style="4" customWidth="1"/>
    <col min="9466" max="9466" width="3.625" style="4" customWidth="1"/>
    <col min="9467" max="9494" width="6.625" style="4" customWidth="1"/>
    <col min="9495" max="9720" width="8.875" style="4"/>
    <col min="9721" max="9721" width="4.625" style="4" customWidth="1"/>
    <col min="9722" max="9722" width="3.625" style="4" customWidth="1"/>
    <col min="9723" max="9750" width="6.625" style="4" customWidth="1"/>
    <col min="9751" max="9976" width="8.875" style="4"/>
    <col min="9977" max="9977" width="4.625" style="4" customWidth="1"/>
    <col min="9978" max="9978" width="3.625" style="4" customWidth="1"/>
    <col min="9979" max="10006" width="6.625" style="4" customWidth="1"/>
    <col min="10007" max="10232" width="8.875" style="4"/>
    <col min="10233" max="10233" width="4.625" style="4" customWidth="1"/>
    <col min="10234" max="10234" width="3.625" style="4" customWidth="1"/>
    <col min="10235" max="10262" width="6.625" style="4" customWidth="1"/>
    <col min="10263" max="10488" width="8.875" style="4"/>
    <col min="10489" max="10489" width="4.625" style="4" customWidth="1"/>
    <col min="10490" max="10490" width="3.625" style="4" customWidth="1"/>
    <col min="10491" max="10518" width="6.625" style="4" customWidth="1"/>
    <col min="10519" max="10744" width="8.875" style="4"/>
    <col min="10745" max="10745" width="4.625" style="4" customWidth="1"/>
    <col min="10746" max="10746" width="3.625" style="4" customWidth="1"/>
    <col min="10747" max="10774" width="6.625" style="4" customWidth="1"/>
    <col min="10775" max="11000" width="8.875" style="4"/>
    <col min="11001" max="11001" width="4.625" style="4" customWidth="1"/>
    <col min="11002" max="11002" width="3.625" style="4" customWidth="1"/>
    <col min="11003" max="11030" width="6.625" style="4" customWidth="1"/>
    <col min="11031" max="11256" width="8.875" style="4"/>
    <col min="11257" max="11257" width="4.625" style="4" customWidth="1"/>
    <col min="11258" max="11258" width="3.625" style="4" customWidth="1"/>
    <col min="11259" max="11286" width="6.625" style="4" customWidth="1"/>
    <col min="11287" max="11512" width="8.875" style="4"/>
    <col min="11513" max="11513" width="4.625" style="4" customWidth="1"/>
    <col min="11514" max="11514" width="3.625" style="4" customWidth="1"/>
    <col min="11515" max="11542" width="6.625" style="4" customWidth="1"/>
    <col min="11543" max="11768" width="8.875" style="4"/>
    <col min="11769" max="11769" width="4.625" style="4" customWidth="1"/>
    <col min="11770" max="11770" width="3.625" style="4" customWidth="1"/>
    <col min="11771" max="11798" width="6.625" style="4" customWidth="1"/>
    <col min="11799" max="12024" width="8.875" style="4"/>
    <col min="12025" max="12025" width="4.625" style="4" customWidth="1"/>
    <col min="12026" max="12026" width="3.625" style="4" customWidth="1"/>
    <col min="12027" max="12054" width="6.625" style="4" customWidth="1"/>
    <col min="12055" max="12280" width="8.875" style="4"/>
    <col min="12281" max="12281" width="4.625" style="4" customWidth="1"/>
    <col min="12282" max="12282" width="3.625" style="4" customWidth="1"/>
    <col min="12283" max="12310" width="6.625" style="4" customWidth="1"/>
    <col min="12311" max="12536" width="8.875" style="4"/>
    <col min="12537" max="12537" width="4.625" style="4" customWidth="1"/>
    <col min="12538" max="12538" width="3.625" style="4" customWidth="1"/>
    <col min="12539" max="12566" width="6.625" style="4" customWidth="1"/>
    <col min="12567" max="12792" width="8.875" style="4"/>
    <col min="12793" max="12793" width="4.625" style="4" customWidth="1"/>
    <col min="12794" max="12794" width="3.625" style="4" customWidth="1"/>
    <col min="12795" max="12822" width="6.625" style="4" customWidth="1"/>
    <col min="12823" max="13048" width="8.875" style="4"/>
    <col min="13049" max="13049" width="4.625" style="4" customWidth="1"/>
    <col min="13050" max="13050" width="3.625" style="4" customWidth="1"/>
    <col min="13051" max="13078" width="6.625" style="4" customWidth="1"/>
    <col min="13079" max="13304" width="8.875" style="4"/>
    <col min="13305" max="13305" width="4.625" style="4" customWidth="1"/>
    <col min="13306" max="13306" width="3.625" style="4" customWidth="1"/>
    <col min="13307" max="13334" width="6.625" style="4" customWidth="1"/>
    <col min="13335" max="13560" width="8.875" style="4"/>
    <col min="13561" max="13561" width="4.625" style="4" customWidth="1"/>
    <col min="13562" max="13562" width="3.625" style="4" customWidth="1"/>
    <col min="13563" max="13590" width="6.625" style="4" customWidth="1"/>
    <col min="13591" max="13816" width="8.875" style="4"/>
    <col min="13817" max="13817" width="4.625" style="4" customWidth="1"/>
    <col min="13818" max="13818" width="3.625" style="4" customWidth="1"/>
    <col min="13819" max="13846" width="6.625" style="4" customWidth="1"/>
    <col min="13847" max="14072" width="8.875" style="4"/>
    <col min="14073" max="14073" width="4.625" style="4" customWidth="1"/>
    <col min="14074" max="14074" width="3.625" style="4" customWidth="1"/>
    <col min="14075" max="14102" width="6.625" style="4" customWidth="1"/>
    <col min="14103" max="14328" width="8.875" style="4"/>
    <col min="14329" max="14329" width="4.625" style="4" customWidth="1"/>
    <col min="14330" max="14330" width="3.625" style="4" customWidth="1"/>
    <col min="14331" max="14358" width="6.625" style="4" customWidth="1"/>
    <col min="14359" max="14584" width="8.875" style="4"/>
    <col min="14585" max="14585" width="4.625" style="4" customWidth="1"/>
    <col min="14586" max="14586" width="3.625" style="4" customWidth="1"/>
    <col min="14587" max="14614" width="6.625" style="4" customWidth="1"/>
    <col min="14615" max="14840" width="8.875" style="4"/>
    <col min="14841" max="14841" width="4.625" style="4" customWidth="1"/>
    <col min="14842" max="14842" width="3.625" style="4" customWidth="1"/>
    <col min="14843" max="14870" width="6.625" style="4" customWidth="1"/>
    <col min="14871" max="15096" width="8.875" style="4"/>
    <col min="15097" max="15097" width="4.625" style="4" customWidth="1"/>
    <col min="15098" max="15098" width="3.625" style="4" customWidth="1"/>
    <col min="15099" max="15126" width="6.625" style="4" customWidth="1"/>
    <col min="15127" max="15352" width="8.875" style="4"/>
    <col min="15353" max="15353" width="4.625" style="4" customWidth="1"/>
    <col min="15354" max="15354" width="3.625" style="4" customWidth="1"/>
    <col min="15355" max="15382" width="6.625" style="4" customWidth="1"/>
    <col min="15383" max="15608" width="8.875" style="4"/>
    <col min="15609" max="15609" width="4.625" style="4" customWidth="1"/>
    <col min="15610" max="15610" width="3.625" style="4" customWidth="1"/>
    <col min="15611" max="15638" width="6.625" style="4" customWidth="1"/>
    <col min="15639" max="15864" width="8.875" style="4"/>
    <col min="15865" max="15865" width="4.625" style="4" customWidth="1"/>
    <col min="15866" max="15866" width="3.625" style="4" customWidth="1"/>
    <col min="15867" max="15894" width="6.625" style="4" customWidth="1"/>
    <col min="15895" max="16120" width="8.875" style="4"/>
    <col min="16121" max="16121" width="4.625" style="4" customWidth="1"/>
    <col min="16122" max="16122" width="3.625" style="4" customWidth="1"/>
    <col min="16123" max="16150" width="6.625" style="4" customWidth="1"/>
    <col min="16151" max="16384" width="8.875" style="4"/>
  </cols>
  <sheetData>
    <row r="1" spans="1:27" ht="4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</row>
    <row r="2" spans="1:27" ht="20.100000000000001" customHeight="1">
      <c r="A2" s="5"/>
      <c r="C2" s="73" t="s">
        <v>233</v>
      </c>
      <c r="AA2" s="6"/>
    </row>
    <row r="3" spans="1:27" ht="32.25">
      <c r="A3" s="5"/>
      <c r="D3" s="83" t="s">
        <v>234</v>
      </c>
      <c r="G3" s="84"/>
      <c r="H3" s="84"/>
      <c r="I3" s="84"/>
      <c r="J3" s="84"/>
      <c r="P3" s="7"/>
      <c r="Q3" s="7"/>
      <c r="R3" s="7"/>
      <c r="U3" s="8"/>
      <c r="V3" s="8"/>
      <c r="AA3" s="6"/>
    </row>
    <row r="4" spans="1:27" ht="15" customHeight="1">
      <c r="A4" s="5"/>
      <c r="B4" s="83"/>
      <c r="G4" s="84"/>
      <c r="H4" s="84"/>
      <c r="I4" s="84"/>
      <c r="J4" s="84"/>
      <c r="P4" s="7"/>
      <c r="Q4" s="7"/>
      <c r="R4" s="7"/>
      <c r="U4" s="8"/>
      <c r="V4" s="8"/>
      <c r="AA4" s="6"/>
    </row>
    <row r="5" spans="1:27" ht="30" customHeight="1">
      <c r="A5" s="9" t="s">
        <v>0</v>
      </c>
      <c r="B5" s="10"/>
      <c r="C5" s="10"/>
      <c r="D5" s="10"/>
      <c r="E5" s="10"/>
      <c r="F5" s="10"/>
      <c r="G5" s="83" t="s">
        <v>296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1" t="s">
        <v>129</v>
      </c>
      <c r="T5" s="10"/>
      <c r="U5" s="12"/>
      <c r="V5" s="12"/>
      <c r="W5" s="10"/>
      <c r="X5" s="10"/>
      <c r="Y5" s="10"/>
      <c r="Z5" s="10"/>
      <c r="AA5" s="13"/>
    </row>
    <row r="6" spans="1:27" ht="10.15" customHeight="1" thickBot="1">
      <c r="A6" s="9"/>
      <c r="B6" s="10"/>
      <c r="C6" s="10"/>
      <c r="D6" s="10"/>
      <c r="E6" s="10"/>
      <c r="F6" s="10"/>
      <c r="G6" s="83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2"/>
      <c r="V6" s="12"/>
      <c r="W6" s="10"/>
      <c r="X6" s="10"/>
      <c r="Y6" s="10"/>
      <c r="Z6" s="10"/>
      <c r="AA6" s="13"/>
    </row>
    <row r="7" spans="1:27" ht="30" customHeight="1" thickTop="1" thickBot="1">
      <c r="A7" s="9"/>
      <c r="B7" s="10"/>
      <c r="C7" s="10"/>
      <c r="D7" s="10"/>
      <c r="E7" s="106" t="s">
        <v>178</v>
      </c>
      <c r="F7" s="107"/>
      <c r="G7" s="108" t="s">
        <v>179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0"/>
      <c r="U7" s="12"/>
      <c r="V7" s="12"/>
      <c r="W7" s="10"/>
      <c r="X7" s="10"/>
      <c r="Y7" s="10"/>
      <c r="Z7" s="10"/>
      <c r="AA7" s="13"/>
    </row>
    <row r="8" spans="1:27" ht="20.25" thickTop="1">
      <c r="A8" s="5"/>
      <c r="L8" s="14"/>
      <c r="M8" s="394"/>
      <c r="N8" s="394"/>
      <c r="U8" s="14"/>
      <c r="V8" s="14"/>
      <c r="Z8" s="47"/>
      <c r="AA8" s="48"/>
    </row>
    <row r="9" spans="1:27" ht="24.95" customHeight="1">
      <c r="A9" s="358" t="s">
        <v>2</v>
      </c>
      <c r="B9" s="359"/>
      <c r="C9" s="362" t="s">
        <v>200</v>
      </c>
      <c r="D9" s="363"/>
      <c r="E9" s="363"/>
      <c r="F9" s="364"/>
      <c r="G9" s="372" t="s">
        <v>3</v>
      </c>
      <c r="H9" s="373"/>
      <c r="I9" s="373"/>
      <c r="J9" s="373"/>
      <c r="K9" s="373"/>
      <c r="L9" s="374"/>
      <c r="M9" s="411" t="s">
        <v>195</v>
      </c>
      <c r="N9" s="412"/>
      <c r="O9" s="412"/>
      <c r="P9" s="412"/>
      <c r="Q9" s="412"/>
      <c r="R9" s="412"/>
      <c r="S9" s="413"/>
      <c r="T9" s="395" t="s">
        <v>195</v>
      </c>
      <c r="U9" s="396"/>
      <c r="V9" s="396"/>
      <c r="W9" s="396"/>
      <c r="X9" s="396"/>
      <c r="Y9" s="397"/>
      <c r="Z9" s="358" t="s">
        <v>2</v>
      </c>
      <c r="AA9" s="359"/>
    </row>
    <row r="10" spans="1:27" ht="24.95" customHeight="1">
      <c r="A10" s="353" t="s">
        <v>4</v>
      </c>
      <c r="B10" s="354"/>
      <c r="C10" s="365"/>
      <c r="D10" s="366"/>
      <c r="E10" s="366"/>
      <c r="F10" s="367"/>
      <c r="G10" s="375" t="s">
        <v>197</v>
      </c>
      <c r="H10" s="376"/>
      <c r="I10" s="376"/>
      <c r="J10" s="376"/>
      <c r="K10" s="376"/>
      <c r="L10" s="377"/>
      <c r="M10" s="402" t="s">
        <v>194</v>
      </c>
      <c r="N10" s="403"/>
      <c r="O10" s="403"/>
      <c r="P10" s="403"/>
      <c r="Q10" s="403"/>
      <c r="R10" s="403"/>
      <c r="S10" s="404"/>
      <c r="T10" s="375" t="s">
        <v>196</v>
      </c>
      <c r="U10" s="376"/>
      <c r="V10" s="376"/>
      <c r="W10" s="376"/>
      <c r="X10" s="376"/>
      <c r="Y10" s="398"/>
      <c r="Z10" s="353" t="s">
        <v>4</v>
      </c>
      <c r="AA10" s="354"/>
    </row>
    <row r="11" spans="1:27" ht="30" customHeight="1">
      <c r="A11" s="360" t="s">
        <v>5</v>
      </c>
      <c r="B11" s="361"/>
      <c r="C11" s="85" t="s">
        <v>6</v>
      </c>
      <c r="D11" s="85" t="s">
        <v>7</v>
      </c>
      <c r="E11" s="85" t="s">
        <v>8</v>
      </c>
      <c r="F11" s="89" t="s">
        <v>9</v>
      </c>
      <c r="G11" s="87" t="s">
        <v>6</v>
      </c>
      <c r="H11" s="85" t="s">
        <v>7</v>
      </c>
      <c r="I11" s="89" t="s">
        <v>8</v>
      </c>
      <c r="J11" s="85" t="s">
        <v>9</v>
      </c>
      <c r="K11" s="85" t="s">
        <v>96</v>
      </c>
      <c r="L11" s="89" t="s">
        <v>173</v>
      </c>
      <c r="M11" s="87" t="s">
        <v>6</v>
      </c>
      <c r="N11" s="85" t="s">
        <v>7</v>
      </c>
      <c r="O11" s="89" t="s">
        <v>8</v>
      </c>
      <c r="P11" s="85" t="s">
        <v>9</v>
      </c>
      <c r="Q11" s="85" t="s">
        <v>96</v>
      </c>
      <c r="R11" s="89" t="s">
        <v>173</v>
      </c>
      <c r="S11" s="89" t="s">
        <v>177</v>
      </c>
      <c r="T11" s="90" t="s">
        <v>6</v>
      </c>
      <c r="U11" s="85" t="s">
        <v>7</v>
      </c>
      <c r="V11" s="89" t="s">
        <v>8</v>
      </c>
      <c r="W11" s="85" t="s">
        <v>9</v>
      </c>
      <c r="X11" s="85" t="s">
        <v>96</v>
      </c>
      <c r="Y11" s="85" t="s">
        <v>173</v>
      </c>
      <c r="Z11" s="360" t="s">
        <v>216</v>
      </c>
      <c r="AA11" s="361"/>
    </row>
    <row r="12" spans="1:27" ht="35.1" customHeight="1" thickBot="1">
      <c r="A12" s="15">
        <v>1</v>
      </c>
      <c r="B12" s="136" t="s">
        <v>95</v>
      </c>
      <c r="C12" s="414" t="s">
        <v>241</v>
      </c>
      <c r="D12" s="415"/>
      <c r="E12" s="415"/>
      <c r="F12" s="415"/>
      <c r="G12" s="415"/>
      <c r="H12" s="415"/>
      <c r="I12" s="415"/>
      <c r="J12" s="415"/>
      <c r="K12" s="415"/>
      <c r="L12" s="415"/>
      <c r="M12" s="415"/>
      <c r="N12" s="415"/>
      <c r="O12" s="415"/>
      <c r="P12" s="415"/>
      <c r="Q12" s="415"/>
      <c r="R12" s="415"/>
      <c r="S12" s="415"/>
      <c r="T12" s="415"/>
      <c r="U12" s="415"/>
      <c r="V12" s="415"/>
      <c r="W12" s="415"/>
      <c r="X12" s="415"/>
      <c r="Y12" s="415"/>
      <c r="Z12" s="15">
        <v>1</v>
      </c>
      <c r="AA12" s="136" t="s">
        <v>95</v>
      </c>
    </row>
    <row r="13" spans="1:27" ht="35.1" customHeight="1" thickTop="1" thickBot="1">
      <c r="A13" s="16">
        <v>2</v>
      </c>
      <c r="B13" s="17" t="s">
        <v>82</v>
      </c>
      <c r="C13" s="370" t="s">
        <v>242</v>
      </c>
      <c r="D13" s="371"/>
      <c r="E13" s="392" t="s">
        <v>294</v>
      </c>
      <c r="F13" s="393"/>
      <c r="G13" s="299" t="s">
        <v>226</v>
      </c>
      <c r="H13" s="179"/>
      <c r="I13" s="166"/>
      <c r="J13" s="166"/>
      <c r="K13" s="71"/>
      <c r="L13" s="173"/>
      <c r="M13" s="281" t="s">
        <v>158</v>
      </c>
      <c r="N13" s="249" t="s">
        <v>146</v>
      </c>
      <c r="O13" s="166"/>
      <c r="P13" s="166"/>
      <c r="Q13" s="261" t="s">
        <v>162</v>
      </c>
      <c r="R13" s="268" t="s">
        <v>48</v>
      </c>
      <c r="S13" s="170"/>
      <c r="T13" s="168"/>
      <c r="U13" s="252" t="s">
        <v>218</v>
      </c>
      <c r="V13" s="166"/>
      <c r="W13" s="71"/>
      <c r="X13" s="261" t="s">
        <v>156</v>
      </c>
      <c r="Y13" s="162"/>
      <c r="Z13" s="16">
        <v>2</v>
      </c>
      <c r="AA13" s="17" t="s">
        <v>82</v>
      </c>
    </row>
    <row r="14" spans="1:27" ht="35.1" customHeight="1" thickTop="1" thickBot="1">
      <c r="A14" s="16">
        <v>3</v>
      </c>
      <c r="B14" s="17" t="s">
        <v>84</v>
      </c>
      <c r="C14" s="63"/>
      <c r="D14" s="46"/>
      <c r="E14" s="46"/>
      <c r="F14" s="46"/>
      <c r="G14" s="298" t="s">
        <v>89</v>
      </c>
      <c r="H14" s="291" t="s">
        <v>227</v>
      </c>
      <c r="I14" s="167"/>
      <c r="J14" s="178"/>
      <c r="K14" s="71"/>
      <c r="L14" s="174"/>
      <c r="M14" s="269" t="s">
        <v>295</v>
      </c>
      <c r="N14" s="269" t="s">
        <v>229</v>
      </c>
      <c r="O14" s="167"/>
      <c r="P14" s="166"/>
      <c r="Q14" s="284" t="s">
        <v>180</v>
      </c>
      <c r="R14" s="285" t="s">
        <v>223</v>
      </c>
      <c r="S14" s="171"/>
      <c r="T14" s="255" t="s">
        <v>168</v>
      </c>
      <c r="U14" s="256" t="s">
        <v>230</v>
      </c>
      <c r="V14" s="166"/>
      <c r="W14" s="71"/>
      <c r="X14" s="71"/>
      <c r="Y14" s="270" t="s">
        <v>225</v>
      </c>
      <c r="Z14" s="16">
        <v>3</v>
      </c>
      <c r="AA14" s="17" t="s">
        <v>84</v>
      </c>
    </row>
    <row r="15" spans="1:27" ht="35.1" customHeight="1" thickTop="1" thickBot="1">
      <c r="A15" s="18">
        <v>4</v>
      </c>
      <c r="B15" s="17" t="s">
        <v>87</v>
      </c>
      <c r="C15" s="55"/>
      <c r="D15" s="46"/>
      <c r="E15" s="46"/>
      <c r="F15" s="46"/>
      <c r="G15" s="292" t="s">
        <v>211</v>
      </c>
      <c r="I15" s="301" t="s">
        <v>204</v>
      </c>
      <c r="J15" s="166"/>
      <c r="K15" s="71"/>
      <c r="L15" s="175"/>
      <c r="M15" s="258" t="s">
        <v>176</v>
      </c>
      <c r="N15" s="282" t="s">
        <v>228</v>
      </c>
      <c r="O15" s="283" t="s">
        <v>185</v>
      </c>
      <c r="P15" s="166"/>
      <c r="Q15" s="261" t="s">
        <v>73</v>
      </c>
      <c r="R15" s="71"/>
      <c r="S15" s="170"/>
      <c r="T15" s="271" t="s">
        <v>212</v>
      </c>
      <c r="V15" s="71"/>
      <c r="W15" s="252" t="s">
        <v>148</v>
      </c>
      <c r="X15" s="261" t="s">
        <v>160</v>
      </c>
      <c r="Y15" s="164"/>
      <c r="Z15" s="18">
        <v>4</v>
      </c>
      <c r="AA15" s="17" t="s">
        <v>87</v>
      </c>
    </row>
    <row r="16" spans="1:27" ht="35.1" customHeight="1" thickTop="1" thickBot="1">
      <c r="A16" s="16">
        <v>5</v>
      </c>
      <c r="B16" s="17" t="s">
        <v>88</v>
      </c>
      <c r="C16" s="63"/>
      <c r="D16" s="46"/>
      <c r="E16" s="46"/>
      <c r="F16" s="46"/>
      <c r="G16" s="293" t="s">
        <v>220</v>
      </c>
      <c r="H16" s="297" t="s">
        <v>209</v>
      </c>
      <c r="I16" s="131" t="s">
        <v>163</v>
      </c>
      <c r="J16" s="166"/>
      <c r="K16" s="71"/>
      <c r="L16" s="174"/>
      <c r="M16" s="264" t="s">
        <v>231</v>
      </c>
      <c r="N16" s="283" t="s">
        <v>181</v>
      </c>
      <c r="O16" s="219"/>
      <c r="P16" s="265" t="s">
        <v>224</v>
      </c>
      <c r="Q16" s="71"/>
      <c r="R16" s="71"/>
      <c r="S16" s="171"/>
      <c r="T16" s="251" t="s">
        <v>166</v>
      </c>
      <c r="U16" s="272" t="s">
        <v>203</v>
      </c>
      <c r="V16" s="167"/>
      <c r="W16" s="71"/>
      <c r="X16" s="71"/>
      <c r="Y16" s="164"/>
      <c r="Z16" s="16">
        <v>5</v>
      </c>
      <c r="AA16" s="17" t="s">
        <v>88</v>
      </c>
    </row>
    <row r="17" spans="1:27" ht="35.1" customHeight="1" thickTop="1" thickBot="1">
      <c r="A17" s="19">
        <v>6</v>
      </c>
      <c r="B17" s="17" t="s">
        <v>90</v>
      </c>
      <c r="C17" s="63"/>
      <c r="D17" s="46"/>
      <c r="E17" s="46"/>
      <c r="F17" s="46"/>
      <c r="G17" s="292" t="s">
        <v>183</v>
      </c>
      <c r="H17" s="294" t="s">
        <v>150</v>
      </c>
      <c r="I17" s="297" t="s">
        <v>83</v>
      </c>
      <c r="J17" s="166"/>
      <c r="K17" s="71"/>
      <c r="L17" s="176"/>
      <c r="M17" s="271" t="s">
        <v>161</v>
      </c>
      <c r="N17" s="288" t="s">
        <v>213</v>
      </c>
      <c r="O17" s="46"/>
      <c r="P17" s="71"/>
      <c r="Q17" s="261" t="s">
        <v>159</v>
      </c>
      <c r="R17" s="71"/>
      <c r="S17" s="170"/>
      <c r="T17" s="251" t="s">
        <v>232</v>
      </c>
      <c r="U17" s="273" t="s">
        <v>215</v>
      </c>
      <c r="V17" s="303" t="s">
        <v>270</v>
      </c>
      <c r="X17" s="71"/>
      <c r="Y17" s="164"/>
      <c r="Z17" s="19">
        <v>6</v>
      </c>
      <c r="AA17" s="17" t="s">
        <v>90</v>
      </c>
    </row>
    <row r="18" spans="1:27" ht="35.1" customHeight="1" thickTop="1" thickBot="1">
      <c r="A18" s="16">
        <v>7</v>
      </c>
      <c r="B18" s="137" t="s">
        <v>94</v>
      </c>
      <c r="C18" s="63"/>
      <c r="D18" s="46"/>
      <c r="E18" s="46"/>
      <c r="F18" s="46"/>
      <c r="G18" s="302" t="s">
        <v>271</v>
      </c>
      <c r="H18" s="283" t="s">
        <v>181</v>
      </c>
      <c r="I18" s="46"/>
      <c r="J18" s="165"/>
      <c r="K18" s="165"/>
      <c r="L18" s="177"/>
      <c r="M18" s="271" t="s">
        <v>161</v>
      </c>
      <c r="N18" s="259" t="s">
        <v>168</v>
      </c>
      <c r="O18" s="219"/>
      <c r="P18" s="165"/>
      <c r="Q18" s="165"/>
      <c r="R18" s="165"/>
      <c r="S18" s="172"/>
      <c r="T18" s="259" t="s">
        <v>176</v>
      </c>
      <c r="U18" s="271" t="s">
        <v>275</v>
      </c>
      <c r="V18" s="46"/>
      <c r="W18" s="165"/>
      <c r="X18" s="165"/>
      <c r="Y18" s="162"/>
      <c r="Z18" s="16">
        <v>7</v>
      </c>
      <c r="AA18" s="137" t="s">
        <v>94</v>
      </c>
    </row>
    <row r="19" spans="1:27" ht="35.1" customHeight="1" thickTop="1" thickBot="1">
      <c r="A19" s="19">
        <v>8</v>
      </c>
      <c r="B19" s="137" t="s">
        <v>95</v>
      </c>
      <c r="C19" s="64"/>
      <c r="D19" s="46"/>
      <c r="E19" s="46"/>
      <c r="F19" s="46"/>
      <c r="G19" s="46"/>
      <c r="H19" s="46"/>
      <c r="I19" s="46"/>
      <c r="J19" s="46"/>
      <c r="K19" s="46"/>
      <c r="L19" s="80"/>
      <c r="M19" s="149"/>
      <c r="N19" s="150"/>
      <c r="O19" s="77"/>
      <c r="P19" s="77"/>
      <c r="Q19" s="80"/>
      <c r="R19" s="80"/>
      <c r="S19" s="79"/>
      <c r="U19" s="151"/>
      <c r="V19" s="77"/>
      <c r="W19" s="80"/>
      <c r="X19" s="76"/>
      <c r="Y19" s="78"/>
      <c r="Z19" s="19">
        <v>8</v>
      </c>
      <c r="AA19" s="137" t="s">
        <v>95</v>
      </c>
    </row>
    <row r="20" spans="1:27" ht="35.1" customHeight="1" thickTop="1" thickBot="1">
      <c r="A20" s="19">
        <v>9</v>
      </c>
      <c r="B20" s="17" t="s">
        <v>82</v>
      </c>
      <c r="C20" s="63"/>
      <c r="D20" s="46"/>
      <c r="E20" s="46"/>
      <c r="F20" s="46"/>
      <c r="G20" s="299" t="s">
        <v>226</v>
      </c>
      <c r="I20" s="71"/>
      <c r="K20" s="71"/>
      <c r="L20" s="173"/>
      <c r="M20" s="257" t="s">
        <v>146</v>
      </c>
      <c r="N20" s="260" t="s">
        <v>162</v>
      </c>
      <c r="O20" s="281" t="s">
        <v>158</v>
      </c>
      <c r="Q20" s="71"/>
      <c r="R20" s="268" t="s">
        <v>48</v>
      </c>
      <c r="S20" s="176"/>
      <c r="T20" s="260" t="s">
        <v>156</v>
      </c>
      <c r="U20" s="257" t="s">
        <v>218</v>
      </c>
      <c r="V20" s="180"/>
      <c r="W20" s="71"/>
      <c r="X20" s="71"/>
      <c r="Y20" s="162"/>
      <c r="Z20" s="19">
        <v>9</v>
      </c>
      <c r="AA20" s="17" t="s">
        <v>82</v>
      </c>
    </row>
    <row r="21" spans="1:27" ht="35.1" customHeight="1" thickTop="1" thickBot="1">
      <c r="A21" s="20">
        <v>10</v>
      </c>
      <c r="B21" s="17" t="s">
        <v>84</v>
      </c>
      <c r="C21" s="63"/>
      <c r="D21" s="46"/>
      <c r="E21" s="46"/>
      <c r="F21" s="46"/>
      <c r="G21" s="298" t="s">
        <v>89</v>
      </c>
      <c r="H21" s="295" t="s">
        <v>227</v>
      </c>
      <c r="J21" s="165"/>
      <c r="K21" s="71"/>
      <c r="L21" s="174"/>
      <c r="M21" s="274" t="s">
        <v>165</v>
      </c>
      <c r="N21" s="275" t="s">
        <v>229</v>
      </c>
      <c r="O21" s="260" t="s">
        <v>159</v>
      </c>
      <c r="P21" s="180"/>
      <c r="Q21" s="284" t="s">
        <v>180</v>
      </c>
      <c r="R21" s="285" t="s">
        <v>223</v>
      </c>
      <c r="S21" s="174"/>
      <c r="T21" s="255" t="s">
        <v>168</v>
      </c>
      <c r="U21" s="257" t="s">
        <v>230</v>
      </c>
      <c r="V21" s="180"/>
      <c r="W21" s="71"/>
      <c r="X21" s="71"/>
      <c r="Y21" s="270" t="s">
        <v>225</v>
      </c>
      <c r="Z21" s="20">
        <v>10</v>
      </c>
      <c r="AA21" s="17" t="s">
        <v>84</v>
      </c>
    </row>
    <row r="22" spans="1:27" ht="35.1" customHeight="1" thickTop="1" thickBot="1">
      <c r="A22" s="20">
        <v>11</v>
      </c>
      <c r="B22" s="17" t="s">
        <v>87</v>
      </c>
      <c r="C22" s="55"/>
      <c r="D22" s="46"/>
      <c r="E22" s="46"/>
      <c r="F22" s="46"/>
      <c r="G22" s="292" t="s">
        <v>211</v>
      </c>
      <c r="I22" s="301" t="s">
        <v>204</v>
      </c>
      <c r="K22" s="71"/>
      <c r="L22" s="175"/>
      <c r="M22" s="259" t="s">
        <v>176</v>
      </c>
      <c r="N22" s="282" t="s">
        <v>228</v>
      </c>
      <c r="O22" s="283" t="s">
        <v>185</v>
      </c>
      <c r="Q22" s="71"/>
      <c r="R22" s="71"/>
      <c r="S22" s="176"/>
      <c r="T22" s="271" t="s">
        <v>212</v>
      </c>
      <c r="U22" s="257" t="s">
        <v>230</v>
      </c>
      <c r="V22" s="180"/>
      <c r="W22" s="71"/>
      <c r="X22" s="261" t="s">
        <v>160</v>
      </c>
      <c r="Y22" s="164"/>
      <c r="Z22" s="20">
        <v>11</v>
      </c>
      <c r="AA22" s="17" t="s">
        <v>87</v>
      </c>
    </row>
    <row r="23" spans="1:27" ht="35.1" customHeight="1" thickTop="1" thickBot="1">
      <c r="A23" s="20">
        <v>12</v>
      </c>
      <c r="B23" s="17" t="s">
        <v>88</v>
      </c>
      <c r="C23" s="63"/>
      <c r="D23" s="46"/>
      <c r="E23" s="46"/>
      <c r="F23" s="46"/>
      <c r="G23" s="293" t="s">
        <v>220</v>
      </c>
      <c r="H23" s="297" t="s">
        <v>209</v>
      </c>
      <c r="I23" s="131" t="s">
        <v>163</v>
      </c>
      <c r="J23" s="180"/>
      <c r="K23" s="71"/>
      <c r="L23" s="174"/>
      <c r="M23" s="264" t="s">
        <v>231</v>
      </c>
      <c r="N23" s="283" t="s">
        <v>181</v>
      </c>
      <c r="O23" s="219"/>
      <c r="P23" s="265" t="s">
        <v>224</v>
      </c>
      <c r="Q23" s="276" t="s">
        <v>210</v>
      </c>
      <c r="R23" s="71"/>
      <c r="S23" s="174"/>
      <c r="T23" s="251" t="s">
        <v>166</v>
      </c>
      <c r="U23" s="272" t="s">
        <v>203</v>
      </c>
      <c r="W23" s="71"/>
      <c r="X23" s="71"/>
      <c r="Y23" s="164"/>
      <c r="Z23" s="20">
        <v>12</v>
      </c>
      <c r="AA23" s="17" t="s">
        <v>88</v>
      </c>
    </row>
    <row r="24" spans="1:27" ht="35.1" customHeight="1" thickTop="1" thickBot="1">
      <c r="A24" s="21">
        <v>13</v>
      </c>
      <c r="B24" s="17" t="s">
        <v>90</v>
      </c>
      <c r="C24" s="63"/>
      <c r="D24" s="46"/>
      <c r="E24" s="46"/>
      <c r="F24" s="46"/>
      <c r="G24" s="292" t="s">
        <v>183</v>
      </c>
      <c r="H24" s="294" t="s">
        <v>150</v>
      </c>
      <c r="I24" s="297" t="s">
        <v>83</v>
      </c>
      <c r="K24" s="71"/>
      <c r="L24" s="176"/>
      <c r="M24" s="271" t="s">
        <v>161</v>
      </c>
      <c r="N24" s="251" t="s">
        <v>167</v>
      </c>
      <c r="O24" s="288" t="s">
        <v>213</v>
      </c>
      <c r="Q24" s="261" t="s">
        <v>159</v>
      </c>
      <c r="R24" s="71"/>
      <c r="S24" s="176"/>
      <c r="T24" s="251" t="s">
        <v>232</v>
      </c>
      <c r="U24" s="277" t="s">
        <v>215</v>
      </c>
      <c r="V24" s="271" t="s">
        <v>222</v>
      </c>
      <c r="W24" s="166"/>
      <c r="X24" s="71"/>
      <c r="Y24" s="164"/>
      <c r="Z24" s="21">
        <v>13</v>
      </c>
      <c r="AA24" s="17" t="s">
        <v>90</v>
      </c>
    </row>
    <row r="25" spans="1:27" ht="35.1" customHeight="1" thickTop="1" thickBot="1">
      <c r="A25" s="21">
        <v>14</v>
      </c>
      <c r="B25" s="137" t="s">
        <v>94</v>
      </c>
      <c r="C25" s="63"/>
      <c r="D25" s="46"/>
      <c r="E25" s="46"/>
      <c r="F25" s="46"/>
      <c r="G25" s="303" t="s">
        <v>272</v>
      </c>
      <c r="I25" s="181"/>
      <c r="J25" s="46"/>
      <c r="K25" s="165"/>
      <c r="L25" s="177"/>
      <c r="M25" s="251" t="s">
        <v>232</v>
      </c>
      <c r="N25" s="302" t="s">
        <v>281</v>
      </c>
      <c r="O25" s="222"/>
      <c r="P25" s="165"/>
      <c r="Q25" s="165"/>
      <c r="R25" s="165"/>
      <c r="S25" s="177"/>
      <c r="T25" s="271" t="s">
        <v>161</v>
      </c>
      <c r="V25" s="181"/>
      <c r="W25" s="165"/>
      <c r="X25" s="165"/>
      <c r="Y25" s="162"/>
      <c r="Z25" s="21">
        <v>14</v>
      </c>
      <c r="AA25" s="137" t="s">
        <v>94</v>
      </c>
    </row>
    <row r="26" spans="1:27" ht="35.1" customHeight="1" thickTop="1" thickBot="1">
      <c r="A26" s="20">
        <v>15</v>
      </c>
      <c r="B26" s="137" t="s">
        <v>95</v>
      </c>
      <c r="C26" s="143" t="s">
        <v>239</v>
      </c>
      <c r="D26" s="46"/>
      <c r="E26" s="46"/>
      <c r="F26" s="46"/>
      <c r="G26" s="46"/>
      <c r="H26" s="46"/>
      <c r="I26" s="46"/>
      <c r="J26" s="46"/>
      <c r="K26" s="46"/>
      <c r="L26" s="80"/>
      <c r="M26" s="77"/>
      <c r="N26" s="76"/>
      <c r="P26" s="77"/>
      <c r="Q26" s="80"/>
      <c r="R26" s="80"/>
      <c r="S26" s="79"/>
      <c r="U26" s="77"/>
      <c r="V26" s="77"/>
      <c r="W26" s="80"/>
      <c r="X26" s="76"/>
      <c r="Y26" s="78"/>
      <c r="Z26" s="20">
        <v>15</v>
      </c>
      <c r="AA26" s="137" t="s">
        <v>95</v>
      </c>
    </row>
    <row r="27" spans="1:27" ht="35.1" customHeight="1" thickTop="1" thickBot="1">
      <c r="A27" s="20">
        <v>16</v>
      </c>
      <c r="B27" s="17" t="s">
        <v>82</v>
      </c>
      <c r="C27" s="63"/>
      <c r="D27" s="46"/>
      <c r="E27" s="46"/>
      <c r="F27" s="46"/>
      <c r="G27" s="299" t="s">
        <v>226</v>
      </c>
      <c r="I27" s="71"/>
      <c r="J27" s="41"/>
      <c r="K27" s="71"/>
      <c r="L27" s="173"/>
      <c r="M27" s="281" t="s">
        <v>158</v>
      </c>
      <c r="N27" s="252" t="s">
        <v>146</v>
      </c>
      <c r="O27" s="185"/>
      <c r="Q27" s="261" t="s">
        <v>162</v>
      </c>
      <c r="R27" s="268" t="s">
        <v>48</v>
      </c>
      <c r="S27" s="170"/>
      <c r="T27" s="168"/>
      <c r="U27" s="252" t="s">
        <v>218</v>
      </c>
      <c r="W27" s="71"/>
      <c r="X27" s="261" t="s">
        <v>156</v>
      </c>
      <c r="Y27" s="278" t="s">
        <v>186</v>
      </c>
      <c r="Z27" s="20">
        <v>16</v>
      </c>
      <c r="AA27" s="17" t="s">
        <v>82</v>
      </c>
    </row>
    <row r="28" spans="1:27" ht="35.1" customHeight="1" thickTop="1" thickBot="1">
      <c r="A28" s="20">
        <v>17</v>
      </c>
      <c r="B28" s="17" t="s">
        <v>84</v>
      </c>
      <c r="C28" s="55"/>
      <c r="D28" s="46"/>
      <c r="E28" s="46"/>
      <c r="F28" s="46"/>
      <c r="G28" s="298" t="s">
        <v>89</v>
      </c>
      <c r="H28" s="295" t="s">
        <v>227</v>
      </c>
      <c r="J28" s="165"/>
      <c r="K28" s="71"/>
      <c r="L28" s="174"/>
      <c r="M28" s="274" t="s">
        <v>165</v>
      </c>
      <c r="N28" s="269" t="s">
        <v>229</v>
      </c>
      <c r="O28" s="260" t="s">
        <v>160</v>
      </c>
      <c r="P28" s="180"/>
      <c r="Q28" s="71"/>
      <c r="R28" s="285" t="s">
        <v>223</v>
      </c>
      <c r="S28" s="171"/>
      <c r="T28" s="255" t="s">
        <v>168</v>
      </c>
      <c r="U28" s="257" t="s">
        <v>230</v>
      </c>
      <c r="V28" s="180"/>
      <c r="W28" s="71"/>
      <c r="X28" s="71"/>
      <c r="Y28" s="270" t="s">
        <v>225</v>
      </c>
      <c r="Z28" s="20">
        <v>17</v>
      </c>
      <c r="AA28" s="17" t="s">
        <v>84</v>
      </c>
    </row>
    <row r="29" spans="1:27" ht="35.1" customHeight="1" thickTop="1" thickBot="1">
      <c r="A29" s="22">
        <v>18</v>
      </c>
      <c r="B29" s="17" t="s">
        <v>87</v>
      </c>
      <c r="C29" s="63"/>
      <c r="D29" s="46"/>
      <c r="E29" s="46"/>
      <c r="F29" s="46"/>
      <c r="G29" s="292" t="s">
        <v>211</v>
      </c>
      <c r="I29" s="301" t="s">
        <v>204</v>
      </c>
      <c r="K29" s="71"/>
      <c r="L29" s="175"/>
      <c r="M29" s="259" t="s">
        <v>176</v>
      </c>
      <c r="N29" s="282" t="s">
        <v>228</v>
      </c>
      <c r="O29" s="283" t="s">
        <v>185</v>
      </c>
      <c r="Q29" s="261" t="s">
        <v>73</v>
      </c>
      <c r="R29" s="71"/>
      <c r="S29" s="170"/>
      <c r="T29" s="271" t="s">
        <v>212</v>
      </c>
      <c r="U29" s="302" t="s">
        <v>277</v>
      </c>
      <c r="W29" s="252" t="s">
        <v>148</v>
      </c>
      <c r="X29" s="261" t="s">
        <v>160</v>
      </c>
      <c r="Y29" s="164"/>
      <c r="Z29" s="22">
        <v>18</v>
      </c>
      <c r="AA29" s="17" t="s">
        <v>87</v>
      </c>
    </row>
    <row r="30" spans="1:27" ht="35.1" customHeight="1" thickTop="1" thickBot="1">
      <c r="A30" s="20">
        <v>19</v>
      </c>
      <c r="B30" s="17" t="s">
        <v>88</v>
      </c>
      <c r="C30" s="63"/>
      <c r="D30" s="46"/>
      <c r="E30" s="46"/>
      <c r="F30" s="159"/>
      <c r="G30" s="293" t="s">
        <v>220</v>
      </c>
      <c r="H30" s="297" t="s">
        <v>209</v>
      </c>
      <c r="I30" s="131" t="s">
        <v>163</v>
      </c>
      <c r="J30" s="180"/>
      <c r="K30" s="71"/>
      <c r="L30" s="174"/>
      <c r="M30" s="264" t="s">
        <v>231</v>
      </c>
      <c r="N30" s="283" t="s">
        <v>181</v>
      </c>
      <c r="O30" s="219"/>
      <c r="P30" s="265" t="s">
        <v>224</v>
      </c>
      <c r="Q30" s="71"/>
      <c r="R30" s="71"/>
      <c r="S30" s="171"/>
      <c r="T30" s="251" t="s">
        <v>166</v>
      </c>
      <c r="U30" s="272" t="s">
        <v>203</v>
      </c>
      <c r="V30" s="271" t="s">
        <v>275</v>
      </c>
      <c r="X30" s="71"/>
      <c r="Y30" s="164"/>
      <c r="Z30" s="20">
        <v>19</v>
      </c>
      <c r="AA30" s="17" t="s">
        <v>88</v>
      </c>
    </row>
    <row r="31" spans="1:27" ht="35.1" customHeight="1" thickTop="1" thickBot="1">
      <c r="A31" s="20">
        <v>20</v>
      </c>
      <c r="B31" s="145" t="s">
        <v>90</v>
      </c>
      <c r="C31" s="251" t="s">
        <v>167</v>
      </c>
      <c r="D31" s="303" t="s">
        <v>279</v>
      </c>
      <c r="E31" s="186"/>
      <c r="F31" s="46"/>
      <c r="G31" s="292" t="s">
        <v>183</v>
      </c>
      <c r="H31" s="294" t="s">
        <v>150</v>
      </c>
      <c r="I31" s="297" t="s">
        <v>83</v>
      </c>
      <c r="K31" s="71"/>
      <c r="L31" s="176"/>
      <c r="M31" s="271" t="s">
        <v>161</v>
      </c>
      <c r="N31" s="288" t="s">
        <v>213</v>
      </c>
      <c r="O31" s="221"/>
      <c r="P31" s="71"/>
      <c r="Q31" s="261" t="s">
        <v>159</v>
      </c>
      <c r="R31" s="71"/>
      <c r="S31" s="170"/>
      <c r="T31" s="251" t="s">
        <v>232</v>
      </c>
      <c r="U31" s="277" t="s">
        <v>215</v>
      </c>
      <c r="W31" s="71"/>
      <c r="X31" s="71"/>
      <c r="Y31" s="164"/>
      <c r="Z31" s="20">
        <v>20</v>
      </c>
      <c r="AA31" s="145" t="s">
        <v>90</v>
      </c>
    </row>
    <row r="32" spans="1:27" ht="35.1" customHeight="1" thickTop="1">
      <c r="A32" s="21">
        <v>21</v>
      </c>
      <c r="B32" s="137" t="s">
        <v>94</v>
      </c>
      <c r="C32" s="62" t="s">
        <v>238</v>
      </c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56"/>
      <c r="Z32" s="21">
        <v>21</v>
      </c>
      <c r="AA32" s="137" t="s">
        <v>94</v>
      </c>
    </row>
    <row r="33" spans="1:27" ht="35.1" customHeight="1" thickBot="1">
      <c r="A33" s="20">
        <v>22</v>
      </c>
      <c r="B33" s="137" t="s">
        <v>95</v>
      </c>
      <c r="C33" s="63"/>
      <c r="D33" s="46"/>
      <c r="E33" s="46"/>
      <c r="F33" s="46"/>
      <c r="G33" s="46"/>
      <c r="H33" s="46"/>
      <c r="I33" s="46"/>
      <c r="J33" s="46"/>
      <c r="K33" s="46"/>
      <c r="L33" s="80"/>
      <c r="M33" s="79"/>
      <c r="N33" s="76"/>
      <c r="O33" s="76"/>
      <c r="P33" s="77"/>
      <c r="Q33" s="80"/>
      <c r="R33" s="80"/>
      <c r="S33" s="79"/>
      <c r="U33" s="77"/>
      <c r="V33" s="77"/>
      <c r="W33" s="80"/>
      <c r="X33" s="76"/>
      <c r="Y33" s="78"/>
      <c r="Z33" s="20">
        <v>22</v>
      </c>
      <c r="AA33" s="137" t="s">
        <v>95</v>
      </c>
    </row>
    <row r="34" spans="1:27" ht="35.1" customHeight="1" thickTop="1" thickBot="1">
      <c r="A34" s="20">
        <v>23</v>
      </c>
      <c r="B34" s="17" t="s">
        <v>82</v>
      </c>
      <c r="C34" s="55"/>
      <c r="D34" s="46"/>
      <c r="E34" s="46"/>
      <c r="F34" s="46"/>
      <c r="G34" s="299" t="s">
        <v>226</v>
      </c>
      <c r="I34" s="71"/>
      <c r="J34" s="123" t="s">
        <v>175</v>
      </c>
      <c r="K34" s="71"/>
      <c r="L34" s="173"/>
      <c r="M34" s="281" t="s">
        <v>158</v>
      </c>
      <c r="N34" s="252" t="s">
        <v>146</v>
      </c>
      <c r="P34" s="71"/>
      <c r="Q34" s="261" t="s">
        <v>162</v>
      </c>
      <c r="R34" s="190"/>
      <c r="S34" s="191"/>
      <c r="T34" s="168"/>
      <c r="U34" s="252" t="s">
        <v>218</v>
      </c>
      <c r="W34" s="71"/>
      <c r="X34" s="261" t="s">
        <v>156</v>
      </c>
      <c r="Y34" s="71"/>
      <c r="Z34" s="20">
        <v>23</v>
      </c>
      <c r="AA34" s="17" t="s">
        <v>82</v>
      </c>
    </row>
    <row r="35" spans="1:27" ht="35.1" customHeight="1" thickTop="1" thickBot="1">
      <c r="A35" s="20">
        <v>24</v>
      </c>
      <c r="B35" s="17" t="s">
        <v>84</v>
      </c>
      <c r="C35" s="63"/>
      <c r="D35" s="46"/>
      <c r="E35" s="46"/>
      <c r="F35" s="46"/>
      <c r="G35" s="298" t="s">
        <v>89</v>
      </c>
      <c r="H35" s="295" t="s">
        <v>227</v>
      </c>
      <c r="J35" s="165"/>
      <c r="K35" s="71"/>
      <c r="L35" s="174"/>
      <c r="M35" s="274" t="s">
        <v>165</v>
      </c>
      <c r="N35" s="275" t="s">
        <v>229</v>
      </c>
      <c r="O35" s="289" t="s">
        <v>180</v>
      </c>
      <c r="P35" s="166"/>
      <c r="Q35" s="71"/>
      <c r="R35" s="71"/>
      <c r="S35" s="192"/>
      <c r="T35" s="255" t="s">
        <v>168</v>
      </c>
      <c r="U35" s="257" t="s">
        <v>230</v>
      </c>
      <c r="V35" s="279" t="s">
        <v>262</v>
      </c>
      <c r="X35" s="71"/>
      <c r="Y35" s="164"/>
      <c r="Z35" s="20">
        <v>24</v>
      </c>
      <c r="AA35" s="17" t="s">
        <v>84</v>
      </c>
    </row>
    <row r="36" spans="1:27" ht="35.1" customHeight="1" thickTop="1" thickBot="1">
      <c r="A36" s="22">
        <v>25</v>
      </c>
      <c r="B36" s="17" t="s">
        <v>87</v>
      </c>
      <c r="C36" s="63"/>
      <c r="D36" s="46"/>
      <c r="E36" s="46"/>
      <c r="F36" s="46"/>
      <c r="G36" s="292" t="s">
        <v>211</v>
      </c>
      <c r="I36" s="301" t="s">
        <v>204</v>
      </c>
      <c r="K36" s="71"/>
      <c r="L36" s="175"/>
      <c r="M36" s="259" t="s">
        <v>176</v>
      </c>
      <c r="N36" s="93" t="s">
        <v>228</v>
      </c>
      <c r="O36" s="283" t="s">
        <v>185</v>
      </c>
      <c r="P36" s="166"/>
      <c r="Q36" s="261" t="s">
        <v>73</v>
      </c>
      <c r="R36" s="71"/>
      <c r="S36" s="170"/>
      <c r="T36" s="271" t="s">
        <v>212</v>
      </c>
      <c r="V36" s="189"/>
      <c r="W36" s="266" t="s">
        <v>148</v>
      </c>
      <c r="X36" s="261" t="s">
        <v>160</v>
      </c>
      <c r="Y36" s="164"/>
      <c r="Z36" s="22">
        <v>25</v>
      </c>
      <c r="AA36" s="17" t="s">
        <v>87</v>
      </c>
    </row>
    <row r="37" spans="1:27" ht="35.1" customHeight="1" thickTop="1" thickBot="1">
      <c r="A37" s="20">
        <v>26</v>
      </c>
      <c r="B37" s="17" t="s">
        <v>88</v>
      </c>
      <c r="C37" s="416" t="s">
        <v>291</v>
      </c>
      <c r="D37" s="417"/>
      <c r="E37" s="417"/>
      <c r="F37" s="418"/>
      <c r="G37" s="293" t="s">
        <v>220</v>
      </c>
      <c r="H37" s="297" t="s">
        <v>209</v>
      </c>
      <c r="I37" s="131" t="s">
        <v>163</v>
      </c>
      <c r="J37" s="246"/>
      <c r="L37" s="244"/>
      <c r="M37" s="264" t="s">
        <v>231</v>
      </c>
      <c r="N37" s="251" t="s">
        <v>232</v>
      </c>
      <c r="O37" s="283" t="s">
        <v>181</v>
      </c>
      <c r="P37" s="219"/>
      <c r="Q37" s="71"/>
      <c r="R37" s="71"/>
      <c r="S37" s="171"/>
      <c r="T37" s="251" t="s">
        <v>166</v>
      </c>
      <c r="U37" s="272" t="s">
        <v>203</v>
      </c>
      <c r="W37" s="71"/>
      <c r="X37" s="71"/>
      <c r="Y37" s="164"/>
      <c r="Z37" s="20">
        <v>26</v>
      </c>
      <c r="AA37" s="17" t="s">
        <v>88</v>
      </c>
    </row>
    <row r="38" spans="1:27" ht="35.1" customHeight="1" thickTop="1" thickBot="1">
      <c r="A38" s="160">
        <v>27</v>
      </c>
      <c r="B38" s="213" t="s">
        <v>90</v>
      </c>
      <c r="C38" s="251" t="s">
        <v>166</v>
      </c>
      <c r="D38" s="194"/>
      <c r="E38" s="195"/>
      <c r="F38" s="196"/>
      <c r="G38" s="292" t="s">
        <v>183</v>
      </c>
      <c r="H38" s="294" t="s">
        <v>150</v>
      </c>
      <c r="I38" s="297" t="s">
        <v>83</v>
      </c>
      <c r="K38" s="322" t="s">
        <v>170</v>
      </c>
      <c r="L38" s="198"/>
      <c r="M38" s="271" t="s">
        <v>161</v>
      </c>
      <c r="N38" s="288" t="s">
        <v>213</v>
      </c>
      <c r="O38" s="271" t="s">
        <v>222</v>
      </c>
      <c r="P38" s="199"/>
      <c r="Q38" s="267" t="s">
        <v>159</v>
      </c>
      <c r="R38" s="200"/>
      <c r="S38" s="201"/>
      <c r="T38" s="251" t="s">
        <v>232</v>
      </c>
      <c r="U38" s="277" t="s">
        <v>215</v>
      </c>
      <c r="V38" s="202"/>
      <c r="X38" s="200"/>
      <c r="Y38" s="203"/>
      <c r="Z38" s="160">
        <v>27</v>
      </c>
      <c r="AA38" s="213" t="s">
        <v>90</v>
      </c>
    </row>
    <row r="39" spans="1:27" ht="35.1" customHeight="1" thickTop="1" thickBot="1">
      <c r="A39" s="349">
        <v>28</v>
      </c>
      <c r="B39" s="351" t="s">
        <v>94</v>
      </c>
      <c r="C39" s="239" t="s">
        <v>301</v>
      </c>
      <c r="D39" s="197"/>
      <c r="E39" s="197"/>
      <c r="F39" s="197"/>
      <c r="G39" s="46"/>
      <c r="H39" s="46"/>
      <c r="I39" s="46"/>
      <c r="J39" s="197"/>
      <c r="K39" s="197"/>
      <c r="L39" s="197"/>
      <c r="M39" s="46"/>
      <c r="N39" s="46"/>
      <c r="O39" s="46"/>
      <c r="P39" s="197"/>
      <c r="Q39" s="197"/>
      <c r="R39" s="197"/>
      <c r="S39" s="197"/>
      <c r="T39" s="46"/>
      <c r="U39" s="46"/>
      <c r="V39" s="197"/>
      <c r="W39" s="197"/>
      <c r="X39" s="197"/>
      <c r="Y39" s="204"/>
      <c r="Z39" s="349">
        <v>28</v>
      </c>
      <c r="AA39" s="351" t="s">
        <v>94</v>
      </c>
    </row>
    <row r="40" spans="1:27" ht="35.1" customHeight="1" thickTop="1" thickBot="1">
      <c r="A40" s="350"/>
      <c r="B40" s="352"/>
      <c r="D40" s="303" t="s">
        <v>278</v>
      </c>
      <c r="E40" s="205"/>
      <c r="F40" s="206"/>
      <c r="G40" s="283" t="s">
        <v>213</v>
      </c>
      <c r="H40" s="207"/>
      <c r="I40" s="208"/>
      <c r="J40" s="208"/>
      <c r="K40" s="208"/>
      <c r="L40" s="206"/>
      <c r="M40" s="251" t="s">
        <v>166</v>
      </c>
      <c r="N40" s="93" t="s">
        <v>261</v>
      </c>
      <c r="O40" s="220"/>
      <c r="P40" s="208"/>
      <c r="Q40" s="208"/>
      <c r="R40" s="208"/>
      <c r="S40" s="206"/>
      <c r="T40" s="257" t="s">
        <v>263</v>
      </c>
      <c r="U40" s="207"/>
      <c r="V40" s="208"/>
      <c r="W40" s="208"/>
      <c r="X40" s="208"/>
      <c r="Y40" s="210"/>
      <c r="Z40" s="350"/>
      <c r="AA40" s="352"/>
    </row>
    <row r="41" spans="1:27" ht="35.1" customHeight="1" thickTop="1" thickBot="1">
      <c r="A41" s="193">
        <v>29</v>
      </c>
      <c r="B41" s="161" t="s">
        <v>95</v>
      </c>
      <c r="C41" s="63"/>
      <c r="D41" s="46"/>
      <c r="E41" s="148"/>
      <c r="F41" s="148"/>
      <c r="G41" s="46"/>
      <c r="H41" s="148"/>
      <c r="I41" s="148"/>
      <c r="J41" s="148"/>
      <c r="K41" s="148"/>
      <c r="L41" s="148"/>
      <c r="M41" s="46"/>
      <c r="N41" s="46"/>
      <c r="O41" s="148"/>
      <c r="P41" s="148"/>
      <c r="Q41" s="148"/>
      <c r="R41" s="148"/>
      <c r="S41" s="148"/>
      <c r="T41" s="46"/>
      <c r="U41" s="148"/>
      <c r="V41" s="148"/>
      <c r="W41" s="148"/>
      <c r="X41" s="148"/>
      <c r="Y41" s="209"/>
      <c r="Z41" s="193">
        <v>29</v>
      </c>
      <c r="AA41" s="161" t="s">
        <v>95</v>
      </c>
    </row>
    <row r="42" spans="1:27" ht="35.1" customHeight="1" thickTop="1" thickBot="1">
      <c r="A42" s="22">
        <v>30</v>
      </c>
      <c r="B42" s="17" t="s">
        <v>82</v>
      </c>
      <c r="C42" s="321" t="s">
        <v>298</v>
      </c>
      <c r="D42" s="46"/>
      <c r="E42" s="46"/>
      <c r="F42" s="46"/>
      <c r="G42" s="281" t="s">
        <v>153</v>
      </c>
      <c r="H42" s="185"/>
      <c r="I42" s="71"/>
      <c r="K42" s="296" t="s">
        <v>174</v>
      </c>
      <c r="L42" s="80"/>
      <c r="M42" s="281" t="s">
        <v>158</v>
      </c>
      <c r="N42" s="252" t="s">
        <v>146</v>
      </c>
      <c r="O42" s="219"/>
      <c r="P42" s="71"/>
      <c r="Q42" s="261" t="s">
        <v>162</v>
      </c>
      <c r="R42" s="71"/>
      <c r="S42" s="215"/>
      <c r="T42" s="280" t="s">
        <v>212</v>
      </c>
      <c r="U42" s="252" t="s">
        <v>218</v>
      </c>
      <c r="W42" s="71"/>
      <c r="X42" s="261" t="s">
        <v>156</v>
      </c>
      <c r="Y42" s="71"/>
      <c r="Z42" s="22">
        <v>30</v>
      </c>
      <c r="AA42" s="17" t="s">
        <v>82</v>
      </c>
    </row>
    <row r="43" spans="1:27" ht="35.1" customHeight="1" thickTop="1" thickBot="1">
      <c r="A43" s="22">
        <v>31</v>
      </c>
      <c r="B43" s="92" t="s">
        <v>84</v>
      </c>
      <c r="C43" s="321" t="s">
        <v>299</v>
      </c>
      <c r="D43" s="46"/>
      <c r="E43" s="46"/>
      <c r="F43" s="46"/>
      <c r="G43" s="218"/>
      <c r="H43" s="302" t="s">
        <v>282</v>
      </c>
      <c r="J43" s="300" t="s">
        <v>169</v>
      </c>
      <c r="K43" s="214"/>
      <c r="L43" s="81"/>
      <c r="M43" s="274" t="s">
        <v>165</v>
      </c>
      <c r="N43" s="275" t="s">
        <v>229</v>
      </c>
      <c r="O43" s="289" t="s">
        <v>260</v>
      </c>
      <c r="Q43" s="290" t="s">
        <v>180</v>
      </c>
      <c r="R43" s="214"/>
      <c r="S43" s="217"/>
      <c r="T43" s="255" t="s">
        <v>168</v>
      </c>
      <c r="U43" s="257" t="s">
        <v>230</v>
      </c>
      <c r="V43" s="279" t="s">
        <v>48</v>
      </c>
      <c r="X43" s="214"/>
      <c r="Y43" s="71"/>
      <c r="Z43" s="22">
        <v>31</v>
      </c>
      <c r="AA43" s="92" t="s">
        <v>84</v>
      </c>
    </row>
    <row r="44" spans="1:27" ht="30" customHeight="1" thickTop="1">
      <c r="A44" s="360" t="s">
        <v>5</v>
      </c>
      <c r="B44" s="361"/>
      <c r="C44" s="85" t="s">
        <v>6</v>
      </c>
      <c r="D44" s="85" t="s">
        <v>7</v>
      </c>
      <c r="E44" s="85" t="s">
        <v>8</v>
      </c>
      <c r="F44" s="89" t="s">
        <v>9</v>
      </c>
      <c r="G44" s="87" t="s">
        <v>6</v>
      </c>
      <c r="H44" s="85" t="s">
        <v>7</v>
      </c>
      <c r="I44" s="89" t="s">
        <v>8</v>
      </c>
      <c r="J44" s="85" t="s">
        <v>9</v>
      </c>
      <c r="K44" s="85" t="s">
        <v>96</v>
      </c>
      <c r="L44" s="89" t="s">
        <v>173</v>
      </c>
      <c r="M44" s="87" t="s">
        <v>6</v>
      </c>
      <c r="N44" s="85" t="s">
        <v>7</v>
      </c>
      <c r="O44" s="89" t="s">
        <v>8</v>
      </c>
      <c r="P44" s="85" t="s">
        <v>9</v>
      </c>
      <c r="Q44" s="85" t="s">
        <v>96</v>
      </c>
      <c r="R44" s="89" t="s">
        <v>173</v>
      </c>
      <c r="S44" s="89" t="s">
        <v>177</v>
      </c>
      <c r="T44" s="90" t="s">
        <v>6</v>
      </c>
      <c r="U44" s="85" t="s">
        <v>7</v>
      </c>
      <c r="V44" s="89" t="s">
        <v>8</v>
      </c>
      <c r="W44" s="85" t="s">
        <v>9</v>
      </c>
      <c r="X44" s="85" t="s">
        <v>96</v>
      </c>
      <c r="Y44" s="85" t="s">
        <v>173</v>
      </c>
      <c r="Z44" s="360" t="s">
        <v>216</v>
      </c>
      <c r="AA44" s="361"/>
    </row>
    <row r="45" spans="1:27" ht="24.95" customHeight="1">
      <c r="A45" s="358" t="s">
        <v>2</v>
      </c>
      <c r="B45" s="359"/>
      <c r="C45" s="362" t="s">
        <v>200</v>
      </c>
      <c r="D45" s="363"/>
      <c r="E45" s="363"/>
      <c r="F45" s="364"/>
      <c r="G45" s="372" t="s">
        <v>3</v>
      </c>
      <c r="H45" s="373"/>
      <c r="I45" s="373"/>
      <c r="J45" s="373"/>
      <c r="K45" s="373"/>
      <c r="L45" s="374"/>
      <c r="M45" s="384" t="s">
        <v>194</v>
      </c>
      <c r="N45" s="385"/>
      <c r="O45" s="385"/>
      <c r="P45" s="385"/>
      <c r="Q45" s="385"/>
      <c r="R45" s="385"/>
      <c r="S45" s="386"/>
      <c r="T45" s="405" t="s">
        <v>198</v>
      </c>
      <c r="U45" s="406"/>
      <c r="V45" s="406"/>
      <c r="W45" s="406"/>
      <c r="X45" s="406"/>
      <c r="Y45" s="407"/>
      <c r="Z45" s="358" t="s">
        <v>2</v>
      </c>
      <c r="AA45" s="359"/>
    </row>
    <row r="46" spans="1:27" s="10" customFormat="1" ht="24.95" customHeight="1">
      <c r="A46" s="353" t="s">
        <v>4</v>
      </c>
      <c r="B46" s="354"/>
      <c r="C46" s="365"/>
      <c r="D46" s="366"/>
      <c r="E46" s="366"/>
      <c r="F46" s="367"/>
      <c r="G46" s="375" t="s">
        <v>197</v>
      </c>
      <c r="H46" s="376"/>
      <c r="I46" s="376"/>
      <c r="J46" s="376"/>
      <c r="K46" s="376"/>
      <c r="L46" s="377"/>
      <c r="M46" s="387"/>
      <c r="N46" s="388"/>
      <c r="O46" s="388"/>
      <c r="P46" s="388"/>
      <c r="Q46" s="388"/>
      <c r="R46" s="388"/>
      <c r="S46" s="389"/>
      <c r="T46" s="408"/>
      <c r="U46" s="409"/>
      <c r="V46" s="409"/>
      <c r="W46" s="409"/>
      <c r="X46" s="409"/>
      <c r="Y46" s="410"/>
      <c r="Z46" s="353" t="s">
        <v>4</v>
      </c>
      <c r="AA46" s="354"/>
    </row>
    <row r="47" spans="1:27" ht="21.95" customHeight="1">
      <c r="A47" s="138" t="s">
        <v>243</v>
      </c>
      <c r="B47" s="23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"/>
      <c r="AA47" s="3"/>
    </row>
    <row r="48" spans="1:27" ht="21.95" customHeight="1">
      <c r="A48" s="139" t="s">
        <v>244</v>
      </c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AA48" s="6"/>
    </row>
    <row r="49" spans="1:27" ht="21.95" customHeight="1">
      <c r="A49" s="140" t="s">
        <v>236</v>
      </c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AA49" s="6"/>
    </row>
    <row r="50" spans="1:27" ht="21.95" customHeight="1">
      <c r="A50" s="141" t="s">
        <v>237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AA50" s="6"/>
    </row>
    <row r="51" spans="1:27" ht="21.95" customHeight="1">
      <c r="A51" s="138" t="s">
        <v>286</v>
      </c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AA51" s="6"/>
    </row>
    <row r="52" spans="1:27" ht="21.95" customHeight="1">
      <c r="A52" s="355" t="s">
        <v>187</v>
      </c>
      <c r="B52" s="356"/>
      <c r="C52" s="356"/>
      <c r="D52" s="356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56"/>
      <c r="Y52" s="356"/>
      <c r="Z52" s="356"/>
      <c r="AA52" s="357"/>
    </row>
    <row r="53" spans="1:27" ht="21.95" customHeight="1">
      <c r="A53" s="112" t="s">
        <v>190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AA53" s="6"/>
    </row>
    <row r="54" spans="1:27" ht="21.95" customHeight="1">
      <c r="A54" s="112" t="s">
        <v>191</v>
      </c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AA54" s="6"/>
    </row>
    <row r="55" spans="1:27" ht="9.9499999999999993" customHeight="1" thickBot="1">
      <c r="A55" s="112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AA55" s="6"/>
    </row>
    <row r="56" spans="1:27" ht="30" customHeight="1" thickBot="1">
      <c r="A56" s="112"/>
      <c r="B56" s="24"/>
      <c r="C56" s="24"/>
      <c r="D56" s="24"/>
      <c r="E56" s="346" t="s">
        <v>240</v>
      </c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8"/>
      <c r="X56" s="24"/>
      <c r="Y56" s="24"/>
      <c r="AA56" s="6"/>
    </row>
    <row r="57" spans="1:27" ht="9.9499999999999993" customHeight="1">
      <c r="A57" s="25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47"/>
      <c r="AA57" s="48"/>
    </row>
    <row r="58" spans="1:27" ht="9.9499999999999993" customHeight="1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</row>
    <row r="59" spans="1:27" ht="35.1" customHeight="1">
      <c r="J59" s="118" t="s">
        <v>97</v>
      </c>
      <c r="K59" s="119" t="s">
        <v>98</v>
      </c>
      <c r="L59" s="120" t="s">
        <v>99</v>
      </c>
      <c r="M59" s="286" t="s">
        <v>100</v>
      </c>
      <c r="N59" s="287" t="s">
        <v>101</v>
      </c>
      <c r="O59" s="122" t="s">
        <v>102</v>
      </c>
    </row>
    <row r="60" spans="1:27" ht="9.9499999999999993" customHeight="1"/>
    <row r="61" spans="1:27" ht="9.9499999999999993" customHeight="1">
      <c r="J61" s="28"/>
    </row>
  </sheetData>
  <mergeCells count="35">
    <mergeCell ref="M8:N8"/>
    <mergeCell ref="A9:B9"/>
    <mergeCell ref="C9:F10"/>
    <mergeCell ref="Z10:AA10"/>
    <mergeCell ref="A11:B11"/>
    <mergeCell ref="Z11:AA11"/>
    <mergeCell ref="G9:L9"/>
    <mergeCell ref="M9:S9"/>
    <mergeCell ref="T9:Y9"/>
    <mergeCell ref="Z9:AA9"/>
    <mergeCell ref="A10:B10"/>
    <mergeCell ref="C12:Y12"/>
    <mergeCell ref="C13:D13"/>
    <mergeCell ref="E13:F13"/>
    <mergeCell ref="G10:L10"/>
    <mergeCell ref="M10:S10"/>
    <mergeCell ref="T10:Y10"/>
    <mergeCell ref="Z39:Z40"/>
    <mergeCell ref="AA39:AA40"/>
    <mergeCell ref="A44:B44"/>
    <mergeCell ref="Z44:AA44"/>
    <mergeCell ref="C37:F37"/>
    <mergeCell ref="A39:A40"/>
    <mergeCell ref="B39:B40"/>
    <mergeCell ref="A52:AA52"/>
    <mergeCell ref="E56:W56"/>
    <mergeCell ref="A45:B45"/>
    <mergeCell ref="C45:F46"/>
    <mergeCell ref="G45:L45"/>
    <mergeCell ref="M45:S46"/>
    <mergeCell ref="T45:Y46"/>
    <mergeCell ref="Z45:AA45"/>
    <mergeCell ref="A46:B46"/>
    <mergeCell ref="G46:L46"/>
    <mergeCell ref="Z46:AA46"/>
  </mergeCells>
  <phoneticPr fontId="2"/>
  <conditionalFormatting sqref="C12:Y12">
    <cfRule type="containsText" dxfId="29" priority="25" stopIfTrue="1" operator="containsText" text="４">
      <formula>NOT(ISERROR(SEARCH("４",C12)))</formula>
    </cfRule>
    <cfRule type="beginsWith" dxfId="28" priority="26" stopIfTrue="1" operator="beginsWith" text="６">
      <formula>LEFT(C12,LEN("６"))="６"</formula>
    </cfRule>
    <cfRule type="beginsWith" dxfId="27" priority="27" stopIfTrue="1" operator="beginsWith" text="５">
      <formula>LEFT(C12,LEN("５"))="５"</formula>
    </cfRule>
    <cfRule type="beginsWith" dxfId="26" priority="28" stopIfTrue="1" operator="beginsWith" text="３">
      <formula>LEFT(C12,LEN("３"))="３"</formula>
    </cfRule>
    <cfRule type="beginsWith" dxfId="25" priority="29" stopIfTrue="1" operator="beginsWith" text="２">
      <formula>LEFT(C12,LEN("２"))="２"</formula>
    </cfRule>
    <cfRule type="beginsWith" dxfId="24" priority="30" stopIfTrue="1" operator="beginsWith" text="１">
      <formula>LEFT(C12,LEN("１"))="１"</formula>
    </cfRule>
  </conditionalFormatting>
  <conditionalFormatting sqref="C13:F13">
    <cfRule type="containsText" dxfId="23" priority="19" stopIfTrue="1" operator="containsText" text="４">
      <formula>NOT(ISERROR(SEARCH("４",C13)))</formula>
    </cfRule>
    <cfRule type="beginsWith" dxfId="22" priority="20" stopIfTrue="1" operator="beginsWith" text="６">
      <formula>LEFT(C13,LEN("６"))="６"</formula>
    </cfRule>
    <cfRule type="beginsWith" dxfId="21" priority="21" stopIfTrue="1" operator="beginsWith" text="５">
      <formula>LEFT(C13,LEN("５"))="５"</formula>
    </cfRule>
    <cfRule type="beginsWith" dxfId="20" priority="22" stopIfTrue="1" operator="beginsWith" text="３">
      <formula>LEFT(C13,LEN("３"))="３"</formula>
    </cfRule>
    <cfRule type="beginsWith" dxfId="19" priority="23" stopIfTrue="1" operator="beginsWith" text="２">
      <formula>LEFT(C13,LEN("２"))="２"</formula>
    </cfRule>
    <cfRule type="beginsWith" dxfId="18" priority="24" stopIfTrue="1" operator="beginsWith" text="１">
      <formula>LEFT(C13,LEN("１"))="１"</formula>
    </cfRule>
  </conditionalFormatting>
  <conditionalFormatting sqref="C26">
    <cfRule type="containsText" dxfId="17" priority="13" stopIfTrue="1" operator="containsText" text="４">
      <formula>NOT(ISERROR(SEARCH("４",C26)))</formula>
    </cfRule>
    <cfRule type="beginsWith" dxfId="16" priority="14" stopIfTrue="1" operator="beginsWith" text="６">
      <formula>LEFT(C26,LEN("６"))="６"</formula>
    </cfRule>
    <cfRule type="beginsWith" dxfId="15" priority="15" stopIfTrue="1" operator="beginsWith" text="５">
      <formula>LEFT(C26,LEN("５"))="５"</formula>
    </cfRule>
    <cfRule type="beginsWith" dxfId="14" priority="16" stopIfTrue="1" operator="beginsWith" text="３">
      <formula>LEFT(C26,LEN("３"))="３"</formula>
    </cfRule>
    <cfRule type="beginsWith" dxfId="13" priority="17" stopIfTrue="1" operator="beginsWith" text="２">
      <formula>LEFT(C26,LEN("２"))="２"</formula>
    </cfRule>
    <cfRule type="beginsWith" dxfId="12" priority="18" stopIfTrue="1" operator="beginsWith" text="１">
      <formula>LEFT(C26,LEN("１"))="１"</formula>
    </cfRule>
  </conditionalFormatting>
  <conditionalFormatting sqref="C32">
    <cfRule type="containsText" dxfId="11" priority="7" stopIfTrue="1" operator="containsText" text="４">
      <formula>NOT(ISERROR(SEARCH("４",C32)))</formula>
    </cfRule>
    <cfRule type="beginsWith" dxfId="10" priority="8" stopIfTrue="1" operator="beginsWith" text="６">
      <formula>LEFT(C32,LEN("６"))="６"</formula>
    </cfRule>
    <cfRule type="beginsWith" dxfId="9" priority="9" stopIfTrue="1" operator="beginsWith" text="５">
      <formula>LEFT(C32,LEN("５"))="５"</formula>
    </cfRule>
    <cfRule type="beginsWith" dxfId="8" priority="10" stopIfTrue="1" operator="beginsWith" text="３">
      <formula>LEFT(C32,LEN("３"))="３"</formula>
    </cfRule>
    <cfRule type="beginsWith" dxfId="7" priority="11" stopIfTrue="1" operator="beginsWith" text="２">
      <formula>LEFT(C32,LEN("２"))="２"</formula>
    </cfRule>
    <cfRule type="beginsWith" dxfId="6" priority="12" stopIfTrue="1" operator="beginsWith" text="１">
      <formula>LEFT(C32,LEN("１"))="１"</formula>
    </cfRule>
  </conditionalFormatting>
  <conditionalFormatting sqref="C39">
    <cfRule type="containsText" dxfId="5" priority="1" stopIfTrue="1" operator="containsText" text="４">
      <formula>NOT(ISERROR(SEARCH("４",C39)))</formula>
    </cfRule>
    <cfRule type="beginsWith" dxfId="4" priority="2" stopIfTrue="1" operator="beginsWith" text="６">
      <formula>LEFT(C39,LEN("６"))="６"</formula>
    </cfRule>
    <cfRule type="beginsWith" dxfId="3" priority="3" stopIfTrue="1" operator="beginsWith" text="５">
      <formula>LEFT(C39,LEN("５"))="５"</formula>
    </cfRule>
    <cfRule type="beginsWith" dxfId="2" priority="4" stopIfTrue="1" operator="beginsWith" text="３">
      <formula>LEFT(C39,LEN("３"))="３"</formula>
    </cfRule>
    <cfRule type="beginsWith" dxfId="1" priority="5" stopIfTrue="1" operator="beginsWith" text="２">
      <formula>LEFT(C39,LEN("２"))="２"</formula>
    </cfRule>
    <cfRule type="beginsWith" dxfId="0" priority="6" stopIfTrue="1" operator="beginsWith" text="１">
      <formula>LEFT(C39,LEN("１"))="１"</formula>
    </cfRule>
  </conditionalFormatting>
  <printOptions horizontalCentered="1" verticalCentered="1"/>
  <pageMargins left="0.27559055118110237" right="0.19685039370078741" top="0.23622047244094491" bottom="0.27559055118110237" header="0.51181102362204722" footer="0.51181102362204722"/>
  <pageSetup paperSize="9" scale="4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38"/>
  <sheetViews>
    <sheetView workbookViewId="0">
      <selection activeCell="L17" sqref="L17"/>
    </sheetView>
  </sheetViews>
  <sheetFormatPr defaultRowHeight="13.5"/>
  <cols>
    <col min="1" max="1" width="8.875" style="4"/>
    <col min="2" max="2" width="2.75" style="49" customWidth="1"/>
    <col min="3" max="3" width="11.625" style="4" bestFit="1" customWidth="1"/>
    <col min="4" max="10" width="8.875" style="4"/>
    <col min="11" max="11" width="8.875" style="4" customWidth="1"/>
    <col min="12" max="257" width="8.875" style="4"/>
    <col min="258" max="258" width="2.75" style="4" customWidth="1"/>
    <col min="259" max="259" width="9.5" style="4" bestFit="1" customWidth="1"/>
    <col min="260" max="513" width="8.875" style="4"/>
    <col min="514" max="514" width="2.75" style="4" customWidth="1"/>
    <col min="515" max="515" width="9.5" style="4" bestFit="1" customWidth="1"/>
    <col min="516" max="769" width="8.875" style="4"/>
    <col min="770" max="770" width="2.75" style="4" customWidth="1"/>
    <col min="771" max="771" width="9.5" style="4" bestFit="1" customWidth="1"/>
    <col min="772" max="1025" width="8.875" style="4"/>
    <col min="1026" max="1026" width="2.75" style="4" customWidth="1"/>
    <col min="1027" max="1027" width="9.5" style="4" bestFit="1" customWidth="1"/>
    <col min="1028" max="1281" width="8.875" style="4"/>
    <col min="1282" max="1282" width="2.75" style="4" customWidth="1"/>
    <col min="1283" max="1283" width="9.5" style="4" bestFit="1" customWidth="1"/>
    <col min="1284" max="1537" width="8.875" style="4"/>
    <col min="1538" max="1538" width="2.75" style="4" customWidth="1"/>
    <col min="1539" max="1539" width="9.5" style="4" bestFit="1" customWidth="1"/>
    <col min="1540" max="1793" width="8.875" style="4"/>
    <col min="1794" max="1794" width="2.75" style="4" customWidth="1"/>
    <col min="1795" max="1795" width="9.5" style="4" bestFit="1" customWidth="1"/>
    <col min="1796" max="2049" width="8.875" style="4"/>
    <col min="2050" max="2050" width="2.75" style="4" customWidth="1"/>
    <col min="2051" max="2051" width="9.5" style="4" bestFit="1" customWidth="1"/>
    <col min="2052" max="2305" width="8.875" style="4"/>
    <col min="2306" max="2306" width="2.75" style="4" customWidth="1"/>
    <col min="2307" max="2307" width="9.5" style="4" bestFit="1" customWidth="1"/>
    <col min="2308" max="2561" width="8.875" style="4"/>
    <col min="2562" max="2562" width="2.75" style="4" customWidth="1"/>
    <col min="2563" max="2563" width="9.5" style="4" bestFit="1" customWidth="1"/>
    <col min="2564" max="2817" width="8.875" style="4"/>
    <col min="2818" max="2818" width="2.75" style="4" customWidth="1"/>
    <col min="2819" max="2819" width="9.5" style="4" bestFit="1" customWidth="1"/>
    <col min="2820" max="3073" width="8.875" style="4"/>
    <col min="3074" max="3074" width="2.75" style="4" customWidth="1"/>
    <col min="3075" max="3075" width="9.5" style="4" bestFit="1" customWidth="1"/>
    <col min="3076" max="3329" width="8.875" style="4"/>
    <col min="3330" max="3330" width="2.75" style="4" customWidth="1"/>
    <col min="3331" max="3331" width="9.5" style="4" bestFit="1" customWidth="1"/>
    <col min="3332" max="3585" width="8.875" style="4"/>
    <col min="3586" max="3586" width="2.75" style="4" customWidth="1"/>
    <col min="3587" max="3587" width="9.5" style="4" bestFit="1" customWidth="1"/>
    <col min="3588" max="3841" width="8.875" style="4"/>
    <col min="3842" max="3842" width="2.75" style="4" customWidth="1"/>
    <col min="3843" max="3843" width="9.5" style="4" bestFit="1" customWidth="1"/>
    <col min="3844" max="4097" width="8.875" style="4"/>
    <col min="4098" max="4098" width="2.75" style="4" customWidth="1"/>
    <col min="4099" max="4099" width="9.5" style="4" bestFit="1" customWidth="1"/>
    <col min="4100" max="4353" width="8.875" style="4"/>
    <col min="4354" max="4354" width="2.75" style="4" customWidth="1"/>
    <col min="4355" max="4355" width="9.5" style="4" bestFit="1" customWidth="1"/>
    <col min="4356" max="4609" width="8.875" style="4"/>
    <col min="4610" max="4610" width="2.75" style="4" customWidth="1"/>
    <col min="4611" max="4611" width="9.5" style="4" bestFit="1" customWidth="1"/>
    <col min="4612" max="4865" width="8.875" style="4"/>
    <col min="4866" max="4866" width="2.75" style="4" customWidth="1"/>
    <col min="4867" max="4867" width="9.5" style="4" bestFit="1" customWidth="1"/>
    <col min="4868" max="5121" width="8.875" style="4"/>
    <col min="5122" max="5122" width="2.75" style="4" customWidth="1"/>
    <col min="5123" max="5123" width="9.5" style="4" bestFit="1" customWidth="1"/>
    <col min="5124" max="5377" width="8.875" style="4"/>
    <col min="5378" max="5378" width="2.75" style="4" customWidth="1"/>
    <col min="5379" max="5379" width="9.5" style="4" bestFit="1" customWidth="1"/>
    <col min="5380" max="5633" width="8.875" style="4"/>
    <col min="5634" max="5634" width="2.75" style="4" customWidth="1"/>
    <col min="5635" max="5635" width="9.5" style="4" bestFit="1" customWidth="1"/>
    <col min="5636" max="5889" width="8.875" style="4"/>
    <col min="5890" max="5890" width="2.75" style="4" customWidth="1"/>
    <col min="5891" max="5891" width="9.5" style="4" bestFit="1" customWidth="1"/>
    <col min="5892" max="6145" width="8.875" style="4"/>
    <col min="6146" max="6146" width="2.75" style="4" customWidth="1"/>
    <col min="6147" max="6147" width="9.5" style="4" bestFit="1" customWidth="1"/>
    <col min="6148" max="6401" width="8.875" style="4"/>
    <col min="6402" max="6402" width="2.75" style="4" customWidth="1"/>
    <col min="6403" max="6403" width="9.5" style="4" bestFit="1" customWidth="1"/>
    <col min="6404" max="6657" width="8.875" style="4"/>
    <col min="6658" max="6658" width="2.75" style="4" customWidth="1"/>
    <col min="6659" max="6659" width="9.5" style="4" bestFit="1" customWidth="1"/>
    <col min="6660" max="6913" width="8.875" style="4"/>
    <col min="6914" max="6914" width="2.75" style="4" customWidth="1"/>
    <col min="6915" max="6915" width="9.5" style="4" bestFit="1" customWidth="1"/>
    <col min="6916" max="7169" width="8.875" style="4"/>
    <col min="7170" max="7170" width="2.75" style="4" customWidth="1"/>
    <col min="7171" max="7171" width="9.5" style="4" bestFit="1" customWidth="1"/>
    <col min="7172" max="7425" width="8.875" style="4"/>
    <col min="7426" max="7426" width="2.75" style="4" customWidth="1"/>
    <col min="7427" max="7427" width="9.5" style="4" bestFit="1" customWidth="1"/>
    <col min="7428" max="7681" width="8.875" style="4"/>
    <col min="7682" max="7682" width="2.75" style="4" customWidth="1"/>
    <col min="7683" max="7683" width="9.5" style="4" bestFit="1" customWidth="1"/>
    <col min="7684" max="7937" width="8.875" style="4"/>
    <col min="7938" max="7938" width="2.75" style="4" customWidth="1"/>
    <col min="7939" max="7939" width="9.5" style="4" bestFit="1" customWidth="1"/>
    <col min="7940" max="8193" width="8.875" style="4"/>
    <col min="8194" max="8194" width="2.75" style="4" customWidth="1"/>
    <col min="8195" max="8195" width="9.5" style="4" bestFit="1" customWidth="1"/>
    <col min="8196" max="8449" width="8.875" style="4"/>
    <col min="8450" max="8450" width="2.75" style="4" customWidth="1"/>
    <col min="8451" max="8451" width="9.5" style="4" bestFit="1" customWidth="1"/>
    <col min="8452" max="8705" width="8.875" style="4"/>
    <col min="8706" max="8706" width="2.75" style="4" customWidth="1"/>
    <col min="8707" max="8707" width="9.5" style="4" bestFit="1" customWidth="1"/>
    <col min="8708" max="8961" width="8.875" style="4"/>
    <col min="8962" max="8962" width="2.75" style="4" customWidth="1"/>
    <col min="8963" max="8963" width="9.5" style="4" bestFit="1" customWidth="1"/>
    <col min="8964" max="9217" width="8.875" style="4"/>
    <col min="9218" max="9218" width="2.75" style="4" customWidth="1"/>
    <col min="9219" max="9219" width="9.5" style="4" bestFit="1" customWidth="1"/>
    <col min="9220" max="9473" width="8.875" style="4"/>
    <col min="9474" max="9474" width="2.75" style="4" customWidth="1"/>
    <col min="9475" max="9475" width="9.5" style="4" bestFit="1" customWidth="1"/>
    <col min="9476" max="9729" width="8.875" style="4"/>
    <col min="9730" max="9730" width="2.75" style="4" customWidth="1"/>
    <col min="9731" max="9731" width="9.5" style="4" bestFit="1" customWidth="1"/>
    <col min="9732" max="9985" width="8.875" style="4"/>
    <col min="9986" max="9986" width="2.75" style="4" customWidth="1"/>
    <col min="9987" max="9987" width="9.5" style="4" bestFit="1" customWidth="1"/>
    <col min="9988" max="10241" width="8.875" style="4"/>
    <col min="10242" max="10242" width="2.75" style="4" customWidth="1"/>
    <col min="10243" max="10243" width="9.5" style="4" bestFit="1" customWidth="1"/>
    <col min="10244" max="10497" width="8.875" style="4"/>
    <col min="10498" max="10498" width="2.75" style="4" customWidth="1"/>
    <col min="10499" max="10499" width="9.5" style="4" bestFit="1" customWidth="1"/>
    <col min="10500" max="10753" width="8.875" style="4"/>
    <col min="10754" max="10754" width="2.75" style="4" customWidth="1"/>
    <col min="10755" max="10755" width="9.5" style="4" bestFit="1" customWidth="1"/>
    <col min="10756" max="11009" width="8.875" style="4"/>
    <col min="11010" max="11010" width="2.75" style="4" customWidth="1"/>
    <col min="11011" max="11011" width="9.5" style="4" bestFit="1" customWidth="1"/>
    <col min="11012" max="11265" width="8.875" style="4"/>
    <col min="11266" max="11266" width="2.75" style="4" customWidth="1"/>
    <col min="11267" max="11267" width="9.5" style="4" bestFit="1" customWidth="1"/>
    <col min="11268" max="11521" width="8.875" style="4"/>
    <col min="11522" max="11522" width="2.75" style="4" customWidth="1"/>
    <col min="11523" max="11523" width="9.5" style="4" bestFit="1" customWidth="1"/>
    <col min="11524" max="11777" width="8.875" style="4"/>
    <col min="11778" max="11778" width="2.75" style="4" customWidth="1"/>
    <col min="11779" max="11779" width="9.5" style="4" bestFit="1" customWidth="1"/>
    <col min="11780" max="12033" width="8.875" style="4"/>
    <col min="12034" max="12034" width="2.75" style="4" customWidth="1"/>
    <col min="12035" max="12035" width="9.5" style="4" bestFit="1" customWidth="1"/>
    <col min="12036" max="12289" width="8.875" style="4"/>
    <col min="12290" max="12290" width="2.75" style="4" customWidth="1"/>
    <col min="12291" max="12291" width="9.5" style="4" bestFit="1" customWidth="1"/>
    <col min="12292" max="12545" width="8.875" style="4"/>
    <col min="12546" max="12546" width="2.75" style="4" customWidth="1"/>
    <col min="12547" max="12547" width="9.5" style="4" bestFit="1" customWidth="1"/>
    <col min="12548" max="12801" width="8.875" style="4"/>
    <col min="12802" max="12802" width="2.75" style="4" customWidth="1"/>
    <col min="12803" max="12803" width="9.5" style="4" bestFit="1" customWidth="1"/>
    <col min="12804" max="13057" width="8.875" style="4"/>
    <col min="13058" max="13058" width="2.75" style="4" customWidth="1"/>
    <col min="13059" max="13059" width="9.5" style="4" bestFit="1" customWidth="1"/>
    <col min="13060" max="13313" width="8.875" style="4"/>
    <col min="13314" max="13314" width="2.75" style="4" customWidth="1"/>
    <col min="13315" max="13315" width="9.5" style="4" bestFit="1" customWidth="1"/>
    <col min="13316" max="13569" width="8.875" style="4"/>
    <col min="13570" max="13570" width="2.75" style="4" customWidth="1"/>
    <col min="13571" max="13571" width="9.5" style="4" bestFit="1" customWidth="1"/>
    <col min="13572" max="13825" width="8.875" style="4"/>
    <col min="13826" max="13826" width="2.75" style="4" customWidth="1"/>
    <col min="13827" max="13827" width="9.5" style="4" bestFit="1" customWidth="1"/>
    <col min="13828" max="14081" width="8.875" style="4"/>
    <col min="14082" max="14082" width="2.75" style="4" customWidth="1"/>
    <col min="14083" max="14083" width="9.5" style="4" bestFit="1" customWidth="1"/>
    <col min="14084" max="14337" width="8.875" style="4"/>
    <col min="14338" max="14338" width="2.75" style="4" customWidth="1"/>
    <col min="14339" max="14339" width="9.5" style="4" bestFit="1" customWidth="1"/>
    <col min="14340" max="14593" width="8.875" style="4"/>
    <col min="14594" max="14594" width="2.75" style="4" customWidth="1"/>
    <col min="14595" max="14595" width="9.5" style="4" bestFit="1" customWidth="1"/>
    <col min="14596" max="14849" width="8.875" style="4"/>
    <col min="14850" max="14850" width="2.75" style="4" customWidth="1"/>
    <col min="14851" max="14851" width="9.5" style="4" bestFit="1" customWidth="1"/>
    <col min="14852" max="15105" width="8.875" style="4"/>
    <col min="15106" max="15106" width="2.75" style="4" customWidth="1"/>
    <col min="15107" max="15107" width="9.5" style="4" bestFit="1" customWidth="1"/>
    <col min="15108" max="15361" width="8.875" style="4"/>
    <col min="15362" max="15362" width="2.75" style="4" customWidth="1"/>
    <col min="15363" max="15363" width="9.5" style="4" bestFit="1" customWidth="1"/>
    <col min="15364" max="15617" width="8.875" style="4"/>
    <col min="15618" max="15618" width="2.75" style="4" customWidth="1"/>
    <col min="15619" max="15619" width="9.5" style="4" bestFit="1" customWidth="1"/>
    <col min="15620" max="15873" width="8.875" style="4"/>
    <col min="15874" max="15874" width="2.75" style="4" customWidth="1"/>
    <col min="15875" max="15875" width="9.5" style="4" bestFit="1" customWidth="1"/>
    <col min="15876" max="16129" width="8.875" style="4"/>
    <col min="16130" max="16130" width="2.75" style="4" customWidth="1"/>
    <col min="16131" max="16131" width="9.5" style="4" bestFit="1" customWidth="1"/>
    <col min="16132" max="16384" width="8.875" style="4"/>
  </cols>
  <sheetData>
    <row r="1" spans="1:12">
      <c r="C1" s="44">
        <v>41935</v>
      </c>
    </row>
    <row r="3" spans="1:12" ht="14.25">
      <c r="B3" s="51"/>
      <c r="C3" s="50" t="s">
        <v>124</v>
      </c>
      <c r="D3" s="57" t="s">
        <v>136</v>
      </c>
      <c r="E3" s="47"/>
      <c r="F3" s="47"/>
      <c r="G3" s="47"/>
      <c r="H3" s="47"/>
      <c r="I3" s="47"/>
      <c r="J3" s="47"/>
    </row>
    <row r="4" spans="1:12">
      <c r="A4" s="6"/>
      <c r="B4" s="49" t="s">
        <v>126</v>
      </c>
      <c r="C4" s="4" t="s">
        <v>113</v>
      </c>
      <c r="F4" s="2"/>
      <c r="K4" s="2"/>
      <c r="L4" s="3"/>
    </row>
    <row r="5" spans="1:12">
      <c r="A5" s="6"/>
      <c r="C5" s="4" t="s">
        <v>134</v>
      </c>
      <c r="L5" s="6"/>
    </row>
    <row r="6" spans="1:12">
      <c r="A6" s="6"/>
      <c r="C6" s="4" t="s">
        <v>133</v>
      </c>
      <c r="L6" s="6"/>
    </row>
    <row r="7" spans="1:12" ht="17.25">
      <c r="A7" s="6"/>
      <c r="C7" s="4" t="s">
        <v>128</v>
      </c>
      <c r="L7" s="6"/>
    </row>
    <row r="8" spans="1:12">
      <c r="A8" s="6"/>
      <c r="B8" s="52"/>
      <c r="C8" s="47" t="s">
        <v>132</v>
      </c>
      <c r="D8" s="47"/>
      <c r="E8" s="47"/>
      <c r="F8" s="47"/>
      <c r="G8" s="47"/>
      <c r="H8" s="47"/>
      <c r="I8" s="47"/>
      <c r="J8" s="47"/>
      <c r="K8" s="47"/>
      <c r="L8" s="48"/>
    </row>
    <row r="11" spans="1:12" ht="14.25">
      <c r="B11" s="51"/>
      <c r="C11" s="50" t="s">
        <v>125</v>
      </c>
      <c r="D11" s="57" t="s">
        <v>135</v>
      </c>
      <c r="E11" s="47"/>
      <c r="F11" s="47"/>
      <c r="G11" s="47"/>
      <c r="H11" s="47"/>
      <c r="I11" s="47"/>
      <c r="J11" s="47"/>
    </row>
    <row r="12" spans="1:12">
      <c r="A12" s="6"/>
      <c r="B12" s="49" t="s">
        <v>126</v>
      </c>
      <c r="C12" s="4" t="s">
        <v>137</v>
      </c>
      <c r="J12" s="3"/>
    </row>
    <row r="13" spans="1:12">
      <c r="A13" s="6"/>
      <c r="J13" s="6"/>
    </row>
    <row r="14" spans="1:12" ht="14.25">
      <c r="A14" s="6"/>
      <c r="B14" s="49" t="s">
        <v>126</v>
      </c>
      <c r="C14" s="45" t="s">
        <v>103</v>
      </c>
      <c r="J14" s="6"/>
    </row>
    <row r="15" spans="1:12">
      <c r="A15" s="6"/>
      <c r="C15" s="4" t="s">
        <v>104</v>
      </c>
      <c r="J15" s="6"/>
    </row>
    <row r="16" spans="1:12">
      <c r="A16" s="6"/>
      <c r="C16" s="4" t="s">
        <v>105</v>
      </c>
      <c r="J16" s="6"/>
    </row>
    <row r="17" spans="1:10">
      <c r="A17" s="6"/>
      <c r="C17" s="4" t="s">
        <v>106</v>
      </c>
      <c r="J17" s="6"/>
    </row>
    <row r="18" spans="1:10">
      <c r="A18" s="6"/>
      <c r="C18" s="4" t="s">
        <v>107</v>
      </c>
      <c r="J18" s="6"/>
    </row>
    <row r="19" spans="1:10">
      <c r="A19" s="6"/>
      <c r="C19" s="4" t="s">
        <v>108</v>
      </c>
      <c r="J19" s="6"/>
    </row>
    <row r="20" spans="1:10">
      <c r="A20" s="6"/>
      <c r="J20" s="6"/>
    </row>
    <row r="21" spans="1:10">
      <c r="A21" s="6"/>
      <c r="B21" s="49" t="s">
        <v>126</v>
      </c>
      <c r="C21" s="4" t="s">
        <v>109</v>
      </c>
      <c r="J21" s="6"/>
    </row>
    <row r="22" spans="1:10">
      <c r="A22" s="6"/>
      <c r="C22" s="4" t="s">
        <v>110</v>
      </c>
      <c r="J22" s="6"/>
    </row>
    <row r="23" spans="1:10">
      <c r="A23" s="6"/>
      <c r="C23" s="4" t="s">
        <v>111</v>
      </c>
      <c r="J23" s="6"/>
    </row>
    <row r="24" spans="1:10">
      <c r="A24" s="6"/>
      <c r="C24" s="4" t="s">
        <v>115</v>
      </c>
      <c r="J24" s="6"/>
    </row>
    <row r="25" spans="1:10">
      <c r="A25" s="6"/>
      <c r="C25" s="4" t="s">
        <v>114</v>
      </c>
      <c r="J25" s="6"/>
    </row>
    <row r="26" spans="1:10">
      <c r="A26" s="6"/>
      <c r="B26" s="52"/>
      <c r="C26" s="47" t="s">
        <v>112</v>
      </c>
      <c r="D26" s="47"/>
      <c r="E26" s="47"/>
      <c r="F26" s="47"/>
      <c r="G26" s="47"/>
      <c r="H26" s="47"/>
      <c r="I26" s="47"/>
      <c r="J26" s="48"/>
    </row>
    <row r="29" spans="1:10" ht="14.25">
      <c r="B29" s="51"/>
      <c r="C29" s="50" t="s">
        <v>127</v>
      </c>
      <c r="D29" s="47"/>
      <c r="E29" s="47"/>
      <c r="F29" s="47"/>
      <c r="G29" s="47"/>
      <c r="H29" s="47"/>
      <c r="I29" s="47"/>
      <c r="J29" s="47"/>
    </row>
    <row r="30" spans="1:10">
      <c r="A30" s="6"/>
      <c r="B30" s="49" t="s">
        <v>126</v>
      </c>
      <c r="C30" s="4" t="s">
        <v>138</v>
      </c>
      <c r="J30" s="3"/>
    </row>
    <row r="31" spans="1:10">
      <c r="A31" s="6"/>
      <c r="C31" s="4" t="s">
        <v>117</v>
      </c>
      <c r="J31" s="6"/>
    </row>
    <row r="32" spans="1:10">
      <c r="A32" s="6"/>
      <c r="C32" s="4" t="s">
        <v>105</v>
      </c>
      <c r="J32" s="6"/>
    </row>
    <row r="33" spans="1:10">
      <c r="A33" s="6"/>
      <c r="C33" s="4" t="s">
        <v>116</v>
      </c>
      <c r="J33" s="6"/>
    </row>
    <row r="34" spans="1:10">
      <c r="A34" s="6"/>
      <c r="C34" s="4" t="s">
        <v>118</v>
      </c>
      <c r="J34" s="6"/>
    </row>
    <row r="35" spans="1:10">
      <c r="A35" s="6"/>
      <c r="C35" s="4" t="s">
        <v>119</v>
      </c>
      <c r="J35" s="6"/>
    </row>
    <row r="36" spans="1:10">
      <c r="A36" s="6"/>
      <c r="C36" s="4" t="s">
        <v>120</v>
      </c>
      <c r="J36" s="6"/>
    </row>
    <row r="37" spans="1:10">
      <c r="A37" s="6"/>
      <c r="C37" s="4" t="s">
        <v>121</v>
      </c>
      <c r="J37" s="6"/>
    </row>
    <row r="38" spans="1:10">
      <c r="A38" s="6"/>
      <c r="B38" s="52"/>
      <c r="C38" s="47" t="s">
        <v>122</v>
      </c>
      <c r="D38" s="47"/>
      <c r="E38" s="47"/>
      <c r="F38" s="47"/>
      <c r="G38" s="47"/>
      <c r="H38" s="47"/>
      <c r="I38" s="47"/>
      <c r="J38" s="4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本校教務部用</vt:lpstr>
      <vt:lpstr>南教室教務部用</vt:lpstr>
      <vt:lpstr>４週間フォーム</vt:lpstr>
      <vt:lpstr>本校生徒用</vt:lpstr>
      <vt:lpstr>南教室生徒用</vt:lpstr>
      <vt:lpstr>マニュアル</vt:lpstr>
      <vt:lpstr>本校教務部用!Print_Area</vt:lpstr>
      <vt:lpstr>本校生徒用!Print_Area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B07-jimusitsu</dc:creator>
  <cp:lastModifiedBy>謙 工藤</cp:lastModifiedBy>
  <cp:lastPrinted>2026-02-24T07:40:40Z</cp:lastPrinted>
  <dcterms:created xsi:type="dcterms:W3CDTF">2014-08-02T14:23:07Z</dcterms:created>
  <dcterms:modified xsi:type="dcterms:W3CDTF">2026-02-27T10:11:32Z</dcterms:modified>
</cp:coreProperties>
</file>